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2025\Informes\Retención\"/>
    </mc:Choice>
  </mc:AlternateContent>
  <xr:revisionPtr revIDLastSave="0" documentId="8_{C2B5F801-0D15-48FE-AB0C-2940E224EE3C}" xr6:coauthVersionLast="47" xr6:coauthVersionMax="47" xr10:uidLastSave="{00000000-0000-0000-0000-000000000000}"/>
  <bookViews>
    <workbookView xWindow="28680" yWindow="-120" windowWidth="24240" windowHeight="13020" tabRatio="866" xr2:uid="{00000000-000D-0000-FFFF-FFFF00000000}"/>
  </bookViews>
  <sheets>
    <sheet name="Indice" sheetId="1" r:id="rId1"/>
    <sheet name="Comparación Tasas" sheetId="18" r:id="rId2"/>
    <sheet name="Retención 1er año general" sheetId="3" r:id="rId3"/>
    <sheet name="Retención 1er año Carreras " sheetId="14" r:id="rId4"/>
    <sheet name="Retención 1er año Sexo" sheetId="15" r:id="rId5"/>
    <sheet name="Retención 1er año Origen Sec." sheetId="16" r:id="rId6"/>
    <sheet name="Retención 1er año x IES" sheetId="19" r:id="rId7"/>
  </sheets>
  <definedNames>
    <definedName name="_xlnm._FilterDatabase" localSheetId="1" hidden="1">'Comparación Tasas'!$A$55:$U$60</definedName>
    <definedName name="_xlnm._FilterDatabase" localSheetId="3" hidden="1">'Retención 1er año Carreras '!$A$130:$V$130</definedName>
    <definedName name="_xlnm._FilterDatabase" localSheetId="4" hidden="1">'Retención 1er año Sexo'!$W$6:$Y$6</definedName>
    <definedName name="_xlnm._FilterDatabase" localSheetId="6" hidden="1">'Retención 1er año x IES'!$A$205:$T$205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5" i="14" l="1"/>
  <c r="U185" i="14"/>
  <c r="T185" i="14"/>
  <c r="V183" i="14"/>
  <c r="U183" i="14"/>
  <c r="T183" i="14"/>
  <c r="V182" i="14"/>
  <c r="U182" i="14"/>
  <c r="T182" i="14"/>
  <c r="V181" i="14"/>
  <c r="U181" i="14"/>
  <c r="T181" i="14"/>
  <c r="V180" i="14"/>
  <c r="U180" i="14"/>
  <c r="T180" i="14"/>
  <c r="V179" i="14"/>
  <c r="U179" i="14"/>
  <c r="T179" i="14"/>
  <c r="V178" i="14"/>
  <c r="U178" i="14"/>
  <c r="T178" i="14"/>
  <c r="V177" i="14"/>
  <c r="U177" i="14"/>
  <c r="T177" i="14"/>
  <c r="V176" i="14"/>
  <c r="U176" i="14"/>
  <c r="T176" i="14"/>
  <c r="V175" i="14"/>
  <c r="U175" i="14"/>
  <c r="T175" i="14"/>
  <c r="V174" i="14"/>
  <c r="U174" i="14"/>
  <c r="T174" i="14"/>
  <c r="V173" i="14"/>
  <c r="U173" i="14"/>
  <c r="T173" i="14"/>
  <c r="T83" i="14" l="1"/>
  <c r="T7" i="3" l="1"/>
  <c r="T167" i="14" l="1"/>
  <c r="V167" i="14"/>
  <c r="T166" i="14"/>
  <c r="U166" i="14"/>
  <c r="V166" i="14"/>
  <c r="T165" i="14"/>
  <c r="U165" i="14"/>
  <c r="V165" i="14"/>
  <c r="T164" i="14"/>
  <c r="U164" i="14"/>
  <c r="V164" i="14"/>
  <c r="T163" i="14"/>
  <c r="U163" i="14"/>
  <c r="V163" i="14"/>
  <c r="T162" i="14"/>
  <c r="U162" i="14"/>
  <c r="V162" i="14"/>
  <c r="T161" i="14"/>
  <c r="U161" i="14"/>
  <c r="V161" i="14"/>
  <c r="T160" i="14"/>
  <c r="U160" i="14"/>
  <c r="V160" i="14"/>
  <c r="T159" i="14"/>
  <c r="U159" i="14"/>
  <c r="V159" i="14"/>
  <c r="V168" i="14"/>
  <c r="U168" i="14"/>
  <c r="T168" i="14"/>
  <c r="T146" i="14"/>
  <c r="U146" i="14"/>
  <c r="V146" i="14"/>
  <c r="T147" i="14"/>
  <c r="U147" i="14"/>
  <c r="V147" i="14"/>
  <c r="T148" i="14"/>
  <c r="U148" i="14"/>
  <c r="V148" i="14"/>
  <c r="T149" i="14"/>
  <c r="U149" i="14"/>
  <c r="V149" i="14"/>
  <c r="T150" i="14"/>
  <c r="U150" i="14"/>
  <c r="V150" i="14"/>
  <c r="T151" i="14"/>
  <c r="U151" i="14"/>
  <c r="V151" i="14"/>
  <c r="T152" i="14"/>
  <c r="U152" i="14"/>
  <c r="V152" i="14"/>
  <c r="T153" i="14"/>
  <c r="U153" i="14"/>
  <c r="V153" i="14"/>
  <c r="T154" i="14"/>
  <c r="U154" i="14"/>
  <c r="V154" i="14"/>
  <c r="V145" i="14"/>
  <c r="U145" i="14"/>
  <c r="T145" i="14"/>
  <c r="T132" i="14"/>
  <c r="U132" i="14"/>
  <c r="V132" i="14"/>
  <c r="U133" i="14"/>
  <c r="V133" i="14"/>
  <c r="T134" i="14"/>
  <c r="U134" i="14"/>
  <c r="V134" i="14"/>
  <c r="T135" i="14"/>
  <c r="U135" i="14"/>
  <c r="V135" i="14"/>
  <c r="T136" i="14"/>
  <c r="U136" i="14"/>
  <c r="V136" i="14"/>
  <c r="T137" i="14"/>
  <c r="U137" i="14"/>
  <c r="V137" i="14"/>
  <c r="T138" i="14"/>
  <c r="U138" i="14"/>
  <c r="V138" i="14"/>
  <c r="T139" i="14"/>
  <c r="U139" i="14"/>
  <c r="V139" i="14"/>
  <c r="T140" i="14"/>
  <c r="U140" i="14"/>
  <c r="V140" i="14"/>
  <c r="V131" i="14"/>
  <c r="U131" i="14"/>
  <c r="T131" i="14"/>
  <c r="T118" i="14"/>
  <c r="U118" i="14"/>
  <c r="V118" i="14"/>
  <c r="T119" i="14"/>
  <c r="U119" i="14"/>
  <c r="V119" i="14"/>
  <c r="T120" i="14"/>
  <c r="U120" i="14"/>
  <c r="V120" i="14"/>
  <c r="T121" i="14"/>
  <c r="U121" i="14"/>
  <c r="V121" i="14"/>
  <c r="T122" i="14"/>
  <c r="U122" i="14"/>
  <c r="V122" i="14"/>
  <c r="T123" i="14"/>
  <c r="U123" i="14"/>
  <c r="V123" i="14"/>
  <c r="T124" i="14"/>
  <c r="U124" i="14"/>
  <c r="V124" i="14"/>
  <c r="T125" i="14"/>
  <c r="U125" i="14"/>
  <c r="V125" i="14"/>
  <c r="T126" i="14"/>
  <c r="U126" i="14"/>
  <c r="V126" i="14"/>
  <c r="V117" i="14"/>
  <c r="U117" i="14"/>
  <c r="T111" i="14"/>
  <c r="U111" i="14"/>
  <c r="V111" i="14"/>
  <c r="T110" i="14"/>
  <c r="U110" i="14"/>
  <c r="V110" i="14"/>
  <c r="T109" i="14"/>
  <c r="U109" i="14"/>
  <c r="V109" i="14"/>
  <c r="T108" i="14"/>
  <c r="U108" i="14"/>
  <c r="V108" i="14"/>
  <c r="T107" i="14"/>
  <c r="U107" i="14"/>
  <c r="V107" i="14"/>
  <c r="T106" i="14"/>
  <c r="U106" i="14"/>
  <c r="V106" i="14"/>
  <c r="T105" i="14"/>
  <c r="U105" i="14"/>
  <c r="V105" i="14"/>
  <c r="T104" i="14"/>
  <c r="U104" i="14"/>
  <c r="V104" i="14"/>
  <c r="T103" i="14"/>
  <c r="U103" i="14"/>
  <c r="V103" i="14"/>
  <c r="V112" i="14"/>
  <c r="U112" i="14"/>
  <c r="T112" i="14"/>
  <c r="T90" i="14"/>
  <c r="U90" i="14"/>
  <c r="V90" i="14"/>
  <c r="T91" i="14"/>
  <c r="U91" i="14"/>
  <c r="V91" i="14"/>
  <c r="T92" i="14"/>
  <c r="U92" i="14"/>
  <c r="V92" i="14"/>
  <c r="T93" i="14"/>
  <c r="U93" i="14"/>
  <c r="V93" i="14"/>
  <c r="T94" i="14"/>
  <c r="U94" i="14"/>
  <c r="V94" i="14"/>
  <c r="T95" i="14"/>
  <c r="U95" i="14"/>
  <c r="V95" i="14"/>
  <c r="U96" i="14"/>
  <c r="V96" i="14"/>
  <c r="T97" i="14"/>
  <c r="U97" i="14"/>
  <c r="V97" i="14"/>
  <c r="T98" i="14"/>
  <c r="U98" i="14"/>
  <c r="V98" i="14"/>
  <c r="V89" i="14"/>
  <c r="U89" i="14"/>
  <c r="T89" i="14"/>
  <c r="T56" i="14"/>
  <c r="U56" i="14"/>
  <c r="V56" i="14"/>
  <c r="T57" i="14"/>
  <c r="U57" i="14"/>
  <c r="V57" i="14"/>
  <c r="T58" i="14"/>
  <c r="U58" i="14"/>
  <c r="V58" i="14"/>
  <c r="T59" i="14"/>
  <c r="U59" i="14"/>
  <c r="V59" i="14"/>
  <c r="T60" i="14"/>
  <c r="U60" i="14"/>
  <c r="V60" i="14"/>
  <c r="T61" i="14"/>
  <c r="U61" i="14"/>
  <c r="V61" i="14"/>
  <c r="T62" i="14"/>
  <c r="U62" i="14"/>
  <c r="V62" i="14"/>
  <c r="T63" i="14"/>
  <c r="U63" i="14"/>
  <c r="V63" i="14"/>
  <c r="T64" i="14"/>
  <c r="U64" i="14"/>
  <c r="V64" i="14"/>
  <c r="T65" i="14"/>
  <c r="U65" i="14"/>
  <c r="V65" i="14"/>
  <c r="T66" i="14"/>
  <c r="U66" i="14"/>
  <c r="V66" i="14"/>
  <c r="T67" i="14"/>
  <c r="U67" i="14"/>
  <c r="V67" i="14"/>
  <c r="T68" i="14"/>
  <c r="U68" i="14"/>
  <c r="V68" i="14"/>
  <c r="T69" i="14"/>
  <c r="U69" i="14"/>
  <c r="V69" i="14"/>
  <c r="T70" i="14"/>
  <c r="U70" i="14"/>
  <c r="V70" i="14"/>
  <c r="T71" i="14"/>
  <c r="U71" i="14"/>
  <c r="V71" i="14"/>
  <c r="T72" i="14"/>
  <c r="U72" i="14"/>
  <c r="V72" i="14"/>
  <c r="T73" i="14"/>
  <c r="U73" i="14"/>
  <c r="V73" i="14"/>
  <c r="T74" i="14"/>
  <c r="U74" i="14"/>
  <c r="V74" i="14"/>
  <c r="T75" i="14"/>
  <c r="U75" i="14"/>
  <c r="V75" i="14"/>
  <c r="T76" i="14"/>
  <c r="U76" i="14"/>
  <c r="V76" i="14"/>
  <c r="T77" i="14"/>
  <c r="U77" i="14"/>
  <c r="V77" i="14"/>
  <c r="T78" i="14"/>
  <c r="U78" i="14"/>
  <c r="V78" i="14"/>
  <c r="T79" i="14"/>
  <c r="U79" i="14"/>
  <c r="V79" i="14"/>
  <c r="T80" i="14"/>
  <c r="U80" i="14"/>
  <c r="V80" i="14"/>
  <c r="T81" i="14"/>
  <c r="U81" i="14"/>
  <c r="V81" i="14"/>
  <c r="T82" i="14"/>
  <c r="U82" i="14"/>
  <c r="V82" i="14"/>
  <c r="U83" i="14"/>
  <c r="V83" i="14"/>
  <c r="T84" i="14"/>
  <c r="U84" i="14"/>
  <c r="V84" i="14"/>
  <c r="V55" i="14"/>
  <c r="U55" i="14"/>
  <c r="T55" i="14"/>
  <c r="T39" i="14"/>
  <c r="U39" i="14"/>
  <c r="V39" i="14"/>
  <c r="T41" i="14"/>
  <c r="U41" i="14"/>
  <c r="V41" i="14"/>
  <c r="T31" i="14"/>
  <c r="U31" i="14"/>
  <c r="V31" i="14"/>
  <c r="T49" i="14"/>
  <c r="U49" i="14"/>
  <c r="V49" i="14"/>
  <c r="T37" i="14"/>
  <c r="U37" i="14"/>
  <c r="V37" i="14"/>
  <c r="T45" i="14"/>
  <c r="U45" i="14"/>
  <c r="V45" i="14"/>
  <c r="T47" i="14"/>
  <c r="U47" i="14"/>
  <c r="V47" i="14"/>
  <c r="T40" i="14"/>
  <c r="U40" i="14"/>
  <c r="V40" i="14"/>
  <c r="T33" i="14"/>
  <c r="U33" i="14"/>
  <c r="V33" i="14"/>
  <c r="T36" i="14"/>
  <c r="U36" i="14"/>
  <c r="V36" i="14"/>
  <c r="T35" i="14"/>
  <c r="U35" i="14"/>
  <c r="V35" i="14"/>
  <c r="T48" i="14"/>
  <c r="U48" i="14"/>
  <c r="V48" i="14"/>
  <c r="T43" i="14"/>
  <c r="U43" i="14"/>
  <c r="V43" i="14"/>
  <c r="T46" i="14"/>
  <c r="U46" i="14"/>
  <c r="V46" i="14"/>
  <c r="T42" i="14"/>
  <c r="U42" i="14"/>
  <c r="V42" i="14"/>
  <c r="T50" i="14"/>
  <c r="U50" i="14"/>
  <c r="V50" i="14"/>
  <c r="T44" i="14"/>
  <c r="U44" i="14"/>
  <c r="V44" i="14"/>
  <c r="T34" i="14"/>
  <c r="U34" i="14"/>
  <c r="V34" i="14"/>
  <c r="T38" i="14"/>
  <c r="U38" i="14"/>
  <c r="V38" i="14"/>
  <c r="V32" i="14"/>
  <c r="U32" i="14"/>
  <c r="T32" i="14"/>
  <c r="T8" i="14"/>
  <c r="U8" i="14"/>
  <c r="V8" i="14"/>
  <c r="T9" i="14"/>
  <c r="U9" i="14"/>
  <c r="V9" i="14"/>
  <c r="T10" i="14"/>
  <c r="U10" i="14"/>
  <c r="V10" i="14"/>
  <c r="T11" i="14"/>
  <c r="U11" i="14"/>
  <c r="V11" i="14"/>
  <c r="T12" i="14"/>
  <c r="U12" i="14"/>
  <c r="V12" i="14"/>
  <c r="T13" i="14"/>
  <c r="U13" i="14"/>
  <c r="V13" i="14"/>
  <c r="T14" i="14"/>
  <c r="U14" i="14"/>
  <c r="V14" i="14"/>
  <c r="T15" i="14"/>
  <c r="U15" i="14"/>
  <c r="V15" i="14"/>
  <c r="T16" i="14"/>
  <c r="U16" i="14"/>
  <c r="V16" i="14"/>
  <c r="T17" i="14"/>
  <c r="U17" i="14"/>
  <c r="V17" i="14"/>
  <c r="T18" i="14"/>
  <c r="V18" i="14"/>
  <c r="U19" i="14"/>
  <c r="V19" i="14"/>
  <c r="T20" i="14"/>
  <c r="U20" i="14"/>
  <c r="V20" i="14"/>
  <c r="T21" i="14"/>
  <c r="U21" i="14"/>
  <c r="V21" i="14"/>
  <c r="T22" i="14"/>
  <c r="U22" i="14"/>
  <c r="V22" i="14"/>
  <c r="T23" i="14"/>
  <c r="U23" i="14"/>
  <c r="V23" i="14"/>
  <c r="T24" i="14"/>
  <c r="U24" i="14"/>
  <c r="V24" i="14"/>
  <c r="T25" i="14"/>
  <c r="U25" i="14"/>
  <c r="V25" i="14"/>
  <c r="T26" i="14"/>
  <c r="U26" i="14"/>
  <c r="V26" i="14"/>
  <c r="V7" i="14"/>
  <c r="U7" i="14"/>
  <c r="T7" i="14"/>
  <c r="E59" i="18"/>
  <c r="V91" i="16"/>
  <c r="V92" i="16"/>
  <c r="V93" i="16"/>
  <c r="V94" i="16"/>
  <c r="V95" i="16"/>
  <c r="V96" i="16"/>
  <c r="V97" i="16"/>
  <c r="V98" i="16"/>
  <c r="V99" i="16"/>
  <c r="U91" i="16"/>
  <c r="U92" i="16"/>
  <c r="U93" i="16"/>
  <c r="U94" i="16"/>
  <c r="U95" i="16"/>
  <c r="U96" i="16"/>
  <c r="U97" i="16"/>
  <c r="U98" i="16"/>
  <c r="U99" i="16"/>
  <c r="T91" i="16"/>
  <c r="T92" i="16"/>
  <c r="T93" i="16"/>
  <c r="T94" i="16"/>
  <c r="T95" i="16"/>
  <c r="T96" i="16"/>
  <c r="T97" i="16"/>
  <c r="T98" i="16"/>
  <c r="T99" i="16"/>
  <c r="V90" i="16"/>
  <c r="U90" i="16"/>
  <c r="T90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V74" i="16"/>
  <c r="U74" i="16"/>
  <c r="T74" i="16"/>
  <c r="V68" i="16"/>
  <c r="V69" i="16"/>
  <c r="V70" i="16"/>
  <c r="U68" i="16"/>
  <c r="U69" i="16"/>
  <c r="U70" i="16"/>
  <c r="T68" i="16"/>
  <c r="T69" i="16"/>
  <c r="T70" i="16"/>
  <c r="V67" i="16"/>
  <c r="U67" i="16"/>
  <c r="T67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T46" i="16"/>
  <c r="T47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V45" i="16"/>
  <c r="U45" i="16"/>
  <c r="T45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T18" i="16"/>
  <c r="T19" i="16"/>
  <c r="T20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V17" i="16"/>
  <c r="U17" i="16"/>
  <c r="T17" i="16"/>
  <c r="V8" i="16"/>
  <c r="V9" i="16"/>
  <c r="V10" i="16"/>
  <c r="V11" i="16"/>
  <c r="V12" i="16"/>
  <c r="V13" i="16"/>
  <c r="U8" i="16"/>
  <c r="U9" i="16"/>
  <c r="U10" i="16"/>
  <c r="U11" i="16"/>
  <c r="U12" i="16"/>
  <c r="U13" i="16"/>
  <c r="T9" i="16"/>
  <c r="T10" i="16"/>
  <c r="T11" i="16"/>
  <c r="T12" i="16"/>
  <c r="T13" i="16"/>
  <c r="V7" i="16"/>
  <c r="U7" i="16"/>
  <c r="T7" i="16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U186" i="15"/>
  <c r="U187" i="15"/>
  <c r="U188" i="15"/>
  <c r="U189" i="15"/>
  <c r="U190" i="15"/>
  <c r="U191" i="15"/>
  <c r="U192" i="15"/>
  <c r="U193" i="15"/>
  <c r="U194" i="15"/>
  <c r="U195" i="15"/>
  <c r="U196" i="15"/>
  <c r="U197" i="15"/>
  <c r="U198" i="15"/>
  <c r="U199" i="15"/>
  <c r="U200" i="15"/>
  <c r="U201" i="15"/>
  <c r="U202" i="15"/>
  <c r="U203" i="15"/>
  <c r="U204" i="15"/>
  <c r="U205" i="15"/>
  <c r="U206" i="15"/>
  <c r="U207" i="15"/>
  <c r="U208" i="15"/>
  <c r="U209" i="15"/>
  <c r="U210" i="15"/>
  <c r="U211" i="15"/>
  <c r="U212" i="15"/>
  <c r="U213" i="15"/>
  <c r="U214" i="15"/>
  <c r="U215" i="15"/>
  <c r="U216" i="15"/>
  <c r="U217" i="15"/>
  <c r="U218" i="15"/>
  <c r="U219" i="15"/>
  <c r="U220" i="15"/>
  <c r="U221" i="15"/>
  <c r="U222" i="15"/>
  <c r="U223" i="15"/>
  <c r="U224" i="15"/>
  <c r="U225" i="15"/>
  <c r="U226" i="15"/>
  <c r="U227" i="15"/>
  <c r="U228" i="15"/>
  <c r="U229" i="15"/>
  <c r="U230" i="15"/>
  <c r="U231" i="15"/>
  <c r="U232" i="15"/>
  <c r="U233" i="15"/>
  <c r="U234" i="15"/>
  <c r="U235" i="15"/>
  <c r="U236" i="15"/>
  <c r="U237" i="15"/>
  <c r="U238" i="15"/>
  <c r="U239" i="15"/>
  <c r="U240" i="15"/>
  <c r="U241" i="15"/>
  <c r="U242" i="15"/>
  <c r="U243" i="15"/>
  <c r="T186" i="15"/>
  <c r="T187" i="15"/>
  <c r="T188" i="15"/>
  <c r="T189" i="15"/>
  <c r="T190" i="15"/>
  <c r="T191" i="15"/>
  <c r="T192" i="15"/>
  <c r="T193" i="15"/>
  <c r="T194" i="15"/>
  <c r="T195" i="15"/>
  <c r="T196" i="15"/>
  <c r="T197" i="15"/>
  <c r="T198" i="15"/>
  <c r="T199" i="15"/>
  <c r="T200" i="15"/>
  <c r="T201" i="15"/>
  <c r="T202" i="15"/>
  <c r="T203" i="15"/>
  <c r="T204" i="15"/>
  <c r="T205" i="15"/>
  <c r="T206" i="15"/>
  <c r="T207" i="15"/>
  <c r="T208" i="15"/>
  <c r="T209" i="15"/>
  <c r="T210" i="15"/>
  <c r="T211" i="15"/>
  <c r="T212" i="15"/>
  <c r="T213" i="15"/>
  <c r="T214" i="15"/>
  <c r="T215" i="15"/>
  <c r="T216" i="15"/>
  <c r="T217" i="15"/>
  <c r="T218" i="15"/>
  <c r="T219" i="15"/>
  <c r="T220" i="15"/>
  <c r="T221" i="15"/>
  <c r="T222" i="15"/>
  <c r="T223" i="15"/>
  <c r="T224" i="15"/>
  <c r="T225" i="15"/>
  <c r="T226" i="15"/>
  <c r="T227" i="15"/>
  <c r="T228" i="15"/>
  <c r="T229" i="15"/>
  <c r="T230" i="15"/>
  <c r="T231" i="15"/>
  <c r="T232" i="15"/>
  <c r="T233" i="15"/>
  <c r="T234" i="15"/>
  <c r="T235" i="15"/>
  <c r="T236" i="15"/>
  <c r="T237" i="15"/>
  <c r="T238" i="15"/>
  <c r="T239" i="15"/>
  <c r="T240" i="15"/>
  <c r="T241" i="15"/>
  <c r="T242" i="15"/>
  <c r="T243" i="15"/>
  <c r="V185" i="15"/>
  <c r="U185" i="15"/>
  <c r="T185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U152" i="15"/>
  <c r="U153" i="15"/>
  <c r="U154" i="15"/>
  <c r="U155" i="15"/>
  <c r="U156" i="15"/>
  <c r="U157" i="15"/>
  <c r="U158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2" i="15"/>
  <c r="U173" i="15"/>
  <c r="U174" i="15"/>
  <c r="U175" i="15"/>
  <c r="U176" i="15"/>
  <c r="U177" i="15"/>
  <c r="U178" i="15"/>
  <c r="U179" i="15"/>
  <c r="U180" i="15"/>
  <c r="T152" i="15"/>
  <c r="T153" i="15"/>
  <c r="T154" i="15"/>
  <c r="T155" i="15"/>
  <c r="T156" i="15"/>
  <c r="T157" i="15"/>
  <c r="T158" i="15"/>
  <c r="T159" i="15"/>
  <c r="T160" i="15"/>
  <c r="T161" i="15"/>
  <c r="T162" i="15"/>
  <c r="T163" i="15"/>
  <c r="T164" i="15"/>
  <c r="T165" i="15"/>
  <c r="T166" i="15"/>
  <c r="T167" i="15"/>
  <c r="T168" i="15"/>
  <c r="T169" i="15"/>
  <c r="T170" i="15"/>
  <c r="T172" i="15"/>
  <c r="T173" i="15"/>
  <c r="T174" i="15"/>
  <c r="T175" i="15"/>
  <c r="T176" i="15"/>
  <c r="T177" i="15"/>
  <c r="T178" i="15"/>
  <c r="T179" i="15"/>
  <c r="T180" i="15"/>
  <c r="V151" i="15"/>
  <c r="U151" i="15"/>
  <c r="T151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U118" i="15"/>
  <c r="U119" i="15"/>
  <c r="U120" i="15"/>
  <c r="U121" i="15"/>
  <c r="U122" i="15"/>
  <c r="U123" i="15"/>
  <c r="U124" i="15"/>
  <c r="U125" i="15"/>
  <c r="U126" i="15"/>
  <c r="U127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T118" i="15"/>
  <c r="T119" i="15"/>
  <c r="T120" i="15"/>
  <c r="T121" i="15"/>
  <c r="T122" i="15"/>
  <c r="T123" i="15"/>
  <c r="T124" i="15"/>
  <c r="T125" i="15"/>
  <c r="T126" i="15"/>
  <c r="T127" i="15"/>
  <c r="T128" i="15"/>
  <c r="T129" i="15"/>
  <c r="T130" i="15"/>
  <c r="T131" i="15"/>
  <c r="T132" i="15"/>
  <c r="T133" i="15"/>
  <c r="T134" i="15"/>
  <c r="T135" i="15"/>
  <c r="T136" i="15"/>
  <c r="T137" i="15"/>
  <c r="T138" i="15"/>
  <c r="T139" i="15"/>
  <c r="T140" i="15"/>
  <c r="T141" i="15"/>
  <c r="T142" i="15"/>
  <c r="T143" i="15"/>
  <c r="T144" i="15"/>
  <c r="T145" i="15"/>
  <c r="T146" i="15"/>
  <c r="V117" i="15"/>
  <c r="U117" i="15"/>
  <c r="T117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T92" i="15"/>
  <c r="T93" i="15"/>
  <c r="T94" i="15"/>
  <c r="T95" i="15"/>
  <c r="T96" i="15"/>
  <c r="T97" i="15"/>
  <c r="T98" i="15"/>
  <c r="T99" i="15"/>
  <c r="T100" i="15"/>
  <c r="T101" i="15"/>
  <c r="T102" i="15"/>
  <c r="T103" i="15"/>
  <c r="T104" i="15"/>
  <c r="T105" i="15"/>
  <c r="T106" i="15"/>
  <c r="T107" i="15"/>
  <c r="T108" i="15"/>
  <c r="T109" i="15"/>
  <c r="T110" i="15"/>
  <c r="T111" i="15"/>
  <c r="T112" i="15"/>
  <c r="T113" i="15"/>
  <c r="V91" i="15"/>
  <c r="U91" i="15"/>
  <c r="T91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V75" i="15"/>
  <c r="U75" i="15"/>
  <c r="T75" i="15"/>
  <c r="T66" i="15"/>
  <c r="U66" i="15"/>
  <c r="V66" i="15"/>
  <c r="T67" i="15"/>
  <c r="U67" i="15"/>
  <c r="V67" i="15"/>
  <c r="T68" i="15"/>
  <c r="U68" i="15"/>
  <c r="V68" i="15"/>
  <c r="T69" i="15"/>
  <c r="U69" i="15"/>
  <c r="V69" i="15"/>
  <c r="T70" i="15"/>
  <c r="U70" i="15"/>
  <c r="V70" i="15"/>
  <c r="T71" i="15"/>
  <c r="U71" i="15"/>
  <c r="V71" i="15"/>
  <c r="V65" i="15"/>
  <c r="U65" i="15"/>
  <c r="T65" i="15"/>
  <c r="V60" i="15"/>
  <c r="V61" i="15"/>
  <c r="U60" i="15"/>
  <c r="U61" i="15"/>
  <c r="T60" i="15"/>
  <c r="T61" i="15"/>
  <c r="V59" i="15"/>
  <c r="U59" i="15"/>
  <c r="T59" i="15"/>
  <c r="U53" i="15"/>
  <c r="V53" i="15"/>
  <c r="V44" i="15"/>
  <c r="V45" i="15"/>
  <c r="V46" i="15"/>
  <c r="V47" i="15"/>
  <c r="V48" i="15"/>
  <c r="V49" i="15"/>
  <c r="V50" i="15"/>
  <c r="V51" i="15"/>
  <c r="V52" i="15"/>
  <c r="V54" i="15"/>
  <c r="V55" i="15"/>
  <c r="U44" i="15"/>
  <c r="U45" i="15"/>
  <c r="U46" i="15"/>
  <c r="U47" i="15"/>
  <c r="U48" i="15"/>
  <c r="U49" i="15"/>
  <c r="U50" i="15"/>
  <c r="U51" i="15"/>
  <c r="U52" i="15"/>
  <c r="U54" i="15"/>
  <c r="U55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V43" i="15"/>
  <c r="U43" i="15"/>
  <c r="T43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T26" i="15"/>
  <c r="T28" i="15"/>
  <c r="T29" i="15"/>
  <c r="T30" i="15"/>
  <c r="T31" i="15"/>
  <c r="T32" i="15"/>
  <c r="T33" i="15"/>
  <c r="T35" i="15"/>
  <c r="T36" i="15"/>
  <c r="T37" i="15"/>
  <c r="T38" i="15"/>
  <c r="T39" i="15"/>
  <c r="V25" i="15"/>
  <c r="U25" i="15"/>
  <c r="T25" i="15"/>
  <c r="V14" i="15"/>
  <c r="V15" i="15"/>
  <c r="V16" i="15"/>
  <c r="V17" i="15"/>
  <c r="V18" i="15"/>
  <c r="V19" i="15"/>
  <c r="V20" i="15"/>
  <c r="V21" i="15"/>
  <c r="U14" i="15"/>
  <c r="U15" i="15"/>
  <c r="U16" i="15"/>
  <c r="U17" i="15"/>
  <c r="U18" i="15"/>
  <c r="U19" i="15"/>
  <c r="U20" i="15"/>
  <c r="U21" i="15"/>
  <c r="T14" i="15"/>
  <c r="T15" i="15"/>
  <c r="T16" i="15"/>
  <c r="T17" i="15"/>
  <c r="T18" i="15"/>
  <c r="T19" i="15"/>
  <c r="T20" i="15"/>
  <c r="T21" i="15"/>
  <c r="V13" i="15"/>
  <c r="U13" i="15"/>
  <c r="T13" i="15"/>
  <c r="V8" i="15"/>
  <c r="V9" i="15"/>
  <c r="U8" i="15"/>
  <c r="U9" i="15"/>
  <c r="T8" i="15"/>
  <c r="T9" i="15"/>
  <c r="V7" i="15"/>
  <c r="U7" i="15"/>
  <c r="T7" i="15"/>
  <c r="V182" i="3"/>
  <c r="V183" i="3"/>
  <c r="V184" i="3"/>
  <c r="V185" i="3"/>
  <c r="V186" i="3"/>
  <c r="V187" i="3"/>
  <c r="V188" i="3"/>
  <c r="V189" i="3"/>
  <c r="V191" i="3"/>
  <c r="V192" i="3"/>
  <c r="U182" i="3"/>
  <c r="U183" i="3"/>
  <c r="U184" i="3"/>
  <c r="U185" i="3"/>
  <c r="U186" i="3"/>
  <c r="U187" i="3"/>
  <c r="U188" i="3"/>
  <c r="U189" i="3"/>
  <c r="U191" i="3"/>
  <c r="U192" i="3"/>
  <c r="T182" i="3"/>
  <c r="T184" i="3"/>
  <c r="T185" i="3"/>
  <c r="T186" i="3"/>
  <c r="T187" i="3"/>
  <c r="T188" i="3"/>
  <c r="T189" i="3"/>
  <c r="T191" i="3"/>
  <c r="T192" i="3"/>
  <c r="V181" i="3"/>
  <c r="U181" i="3"/>
  <c r="T181" i="3"/>
  <c r="V175" i="3"/>
  <c r="V176" i="3"/>
  <c r="V177" i="3"/>
  <c r="U175" i="3"/>
  <c r="U176" i="3"/>
  <c r="U177" i="3"/>
  <c r="T176" i="3"/>
  <c r="T177" i="3"/>
  <c r="V174" i="3"/>
  <c r="U174" i="3"/>
  <c r="T174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V135" i="3"/>
  <c r="U135" i="3"/>
  <c r="T13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V115" i="3"/>
  <c r="U115" i="3"/>
  <c r="T115" i="3"/>
  <c r="V99" i="3"/>
  <c r="V100" i="3"/>
  <c r="V101" i="3"/>
  <c r="V102" i="3"/>
  <c r="V104" i="3"/>
  <c r="V105" i="3"/>
  <c r="V106" i="3"/>
  <c r="V107" i="3"/>
  <c r="V108" i="3"/>
  <c r="V110" i="3"/>
  <c r="U99" i="3"/>
  <c r="U100" i="3"/>
  <c r="U101" i="3"/>
  <c r="U102" i="3"/>
  <c r="U104" i="3"/>
  <c r="U105" i="3"/>
  <c r="U106" i="3"/>
  <c r="U107" i="3"/>
  <c r="U108" i="3"/>
  <c r="U110" i="3"/>
  <c r="T99" i="3"/>
  <c r="T100" i="3"/>
  <c r="T101" i="3"/>
  <c r="T102" i="3"/>
  <c r="T104" i="3"/>
  <c r="T105" i="3"/>
  <c r="T106" i="3"/>
  <c r="T107" i="3"/>
  <c r="T108" i="3"/>
  <c r="T110" i="3"/>
  <c r="V98" i="3"/>
  <c r="U98" i="3"/>
  <c r="T98" i="3"/>
  <c r="V90" i="3"/>
  <c r="V91" i="3"/>
  <c r="V92" i="3"/>
  <c r="V94" i="3"/>
  <c r="U90" i="3"/>
  <c r="U91" i="3"/>
  <c r="U92" i="3"/>
  <c r="U94" i="3"/>
  <c r="T90" i="3"/>
  <c r="T91" i="3"/>
  <c r="T92" i="3"/>
  <c r="T94" i="3"/>
  <c r="V89" i="3"/>
  <c r="U89" i="3"/>
  <c r="T89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V62" i="3"/>
  <c r="U62" i="3"/>
  <c r="T62" i="3"/>
  <c r="V49" i="3"/>
  <c r="V50" i="3"/>
  <c r="V51" i="3"/>
  <c r="V52" i="3"/>
  <c r="V53" i="3"/>
  <c r="V54" i="3"/>
  <c r="V55" i="3"/>
  <c r="V56" i="3"/>
  <c r="V57" i="3"/>
  <c r="V58" i="3"/>
  <c r="U49" i="3"/>
  <c r="U50" i="3"/>
  <c r="U51" i="3"/>
  <c r="U52" i="3"/>
  <c r="U53" i="3"/>
  <c r="U54" i="3"/>
  <c r="U55" i="3"/>
  <c r="U56" i="3"/>
  <c r="U57" i="3"/>
  <c r="U58" i="3"/>
  <c r="T49" i="3"/>
  <c r="T50" i="3"/>
  <c r="T51" i="3"/>
  <c r="T52" i="3"/>
  <c r="T53" i="3"/>
  <c r="T54" i="3"/>
  <c r="T55" i="3"/>
  <c r="T56" i="3"/>
  <c r="T57" i="3"/>
  <c r="T58" i="3"/>
  <c r="V48" i="3"/>
  <c r="U48" i="3"/>
  <c r="T48" i="3"/>
  <c r="V34" i="3"/>
  <c r="V35" i="3"/>
  <c r="V36" i="3"/>
  <c r="V37" i="3"/>
  <c r="V38" i="3"/>
  <c r="V39" i="3"/>
  <c r="V40" i="3"/>
  <c r="V41" i="3"/>
  <c r="V42" i="3"/>
  <c r="V43" i="3"/>
  <c r="V44" i="3"/>
  <c r="U34" i="3"/>
  <c r="U35" i="3"/>
  <c r="U36" i="3"/>
  <c r="U37" i="3"/>
  <c r="U38" i="3"/>
  <c r="U39" i="3"/>
  <c r="U40" i="3"/>
  <c r="U41" i="3"/>
  <c r="U42" i="3"/>
  <c r="U43" i="3"/>
  <c r="U44" i="3"/>
  <c r="T34" i="3"/>
  <c r="T35" i="3"/>
  <c r="T36" i="3"/>
  <c r="T37" i="3"/>
  <c r="T38" i="3"/>
  <c r="T39" i="3"/>
  <c r="T40" i="3"/>
  <c r="T41" i="3"/>
  <c r="T42" i="3"/>
  <c r="T43" i="3"/>
  <c r="T44" i="3"/>
  <c r="V33" i="3"/>
  <c r="U33" i="3"/>
  <c r="T33" i="3"/>
  <c r="V25" i="3"/>
  <c r="V26" i="3"/>
  <c r="V27" i="3"/>
  <c r="V28" i="3"/>
  <c r="V29" i="3"/>
  <c r="U25" i="3"/>
  <c r="U26" i="3"/>
  <c r="U27" i="3"/>
  <c r="U28" i="3"/>
  <c r="U29" i="3"/>
  <c r="T25" i="3"/>
  <c r="T26" i="3"/>
  <c r="T27" i="3"/>
  <c r="T28" i="3"/>
  <c r="T29" i="3"/>
  <c r="V24" i="3"/>
  <c r="U24" i="3"/>
  <c r="T24" i="3"/>
  <c r="V15" i="3"/>
  <c r="V16" i="3"/>
  <c r="V17" i="3"/>
  <c r="V18" i="3"/>
  <c r="V19" i="3"/>
  <c r="V20" i="3"/>
  <c r="U15" i="3"/>
  <c r="U16" i="3"/>
  <c r="U17" i="3"/>
  <c r="U18" i="3"/>
  <c r="U19" i="3"/>
  <c r="U20" i="3"/>
  <c r="T16" i="3"/>
  <c r="T17" i="3"/>
  <c r="T18" i="3"/>
  <c r="T19" i="3"/>
  <c r="T20" i="3"/>
  <c r="V14" i="3"/>
  <c r="U14" i="3"/>
  <c r="T14" i="3"/>
  <c r="V8" i="3"/>
  <c r="V9" i="3"/>
  <c r="V10" i="3"/>
  <c r="U8" i="3"/>
  <c r="U9" i="3"/>
  <c r="U10" i="3"/>
  <c r="T8" i="3"/>
  <c r="T9" i="3"/>
  <c r="T10" i="3"/>
  <c r="V7" i="3"/>
  <c r="U7" i="3"/>
  <c r="T50" i="18"/>
  <c r="U50" i="18"/>
  <c r="V50" i="18"/>
  <c r="T51" i="18"/>
  <c r="U51" i="18"/>
  <c r="V51" i="18"/>
  <c r="T52" i="18"/>
  <c r="U52" i="18"/>
  <c r="V52" i="18"/>
  <c r="V49" i="18"/>
  <c r="U49" i="18"/>
  <c r="T49" i="18"/>
  <c r="T43" i="18"/>
  <c r="U43" i="18"/>
  <c r="V43" i="18"/>
  <c r="T44" i="18"/>
  <c r="U44" i="18"/>
  <c r="V44" i="18"/>
  <c r="T45" i="18"/>
  <c r="U45" i="18"/>
  <c r="V45" i="18"/>
  <c r="V42" i="18"/>
  <c r="U42" i="18"/>
  <c r="T42" i="18"/>
  <c r="T36" i="18"/>
  <c r="U36" i="18"/>
  <c r="V36" i="18"/>
  <c r="T37" i="18"/>
  <c r="U37" i="18"/>
  <c r="V37" i="18"/>
  <c r="T38" i="18"/>
  <c r="U38" i="18"/>
  <c r="V38" i="18"/>
  <c r="V35" i="18"/>
  <c r="U35" i="18"/>
  <c r="T35" i="18"/>
  <c r="T29" i="18"/>
  <c r="U29" i="18"/>
  <c r="V29" i="18"/>
  <c r="T30" i="18"/>
  <c r="U30" i="18"/>
  <c r="V30" i="18"/>
  <c r="T31" i="18"/>
  <c r="U31" i="18"/>
  <c r="V31" i="18"/>
  <c r="V28" i="18"/>
  <c r="U28" i="18"/>
  <c r="T28" i="18"/>
  <c r="V22" i="18"/>
  <c r="V23" i="18"/>
  <c r="V24" i="18"/>
  <c r="U22" i="18"/>
  <c r="U23" i="18"/>
  <c r="U24" i="18"/>
  <c r="T22" i="18"/>
  <c r="T23" i="18"/>
  <c r="T24" i="18"/>
  <c r="V21" i="18"/>
  <c r="U21" i="18"/>
  <c r="T21" i="18"/>
  <c r="T15" i="18"/>
  <c r="U15" i="18"/>
  <c r="V15" i="18"/>
  <c r="T16" i="18"/>
  <c r="U16" i="18"/>
  <c r="V16" i="18"/>
  <c r="T17" i="18"/>
  <c r="U17" i="18"/>
  <c r="V17" i="18"/>
  <c r="V14" i="18"/>
  <c r="U14" i="18"/>
  <c r="T14" i="18"/>
  <c r="V8" i="18"/>
  <c r="V9" i="18"/>
  <c r="V10" i="18"/>
  <c r="U8" i="18"/>
  <c r="U9" i="18"/>
  <c r="U10" i="18"/>
  <c r="T8" i="18"/>
  <c r="T9" i="18"/>
  <c r="T10" i="18"/>
  <c r="V7" i="18"/>
  <c r="U7" i="18"/>
  <c r="T7" i="18"/>
</calcChain>
</file>

<file path=xl/sharedStrings.xml><?xml version="1.0" encoding="utf-8"?>
<sst xmlns="http://schemas.openxmlformats.org/spreadsheetml/2006/main" count="2034" uniqueCount="468">
  <si>
    <t>Contenido</t>
  </si>
  <si>
    <t>Total general</t>
  </si>
  <si>
    <t>Centros de Formación Técnica</t>
  </si>
  <si>
    <t>Institutos Profesionales</t>
  </si>
  <si>
    <t>Universidades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</si>
  <si>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</si>
  <si>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</si>
  <si>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</si>
  <si>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</si>
  <si>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</si>
  <si>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</si>
  <si>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</si>
  <si>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</si>
  <si>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</si>
  <si>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</si>
  <si>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Técnico en Enfermería</t>
  </si>
  <si>
    <t>Técnico en Administración de Empresas</t>
  </si>
  <si>
    <t>Técnico en Gastronomía y Cocina</t>
  </si>
  <si>
    <t>Técnico en Mecánica Automotriz</t>
  </si>
  <si>
    <t>Técnico Asistente del Educador de Párvulos</t>
  </si>
  <si>
    <t>Técnico en Construcción y Obras Civiles</t>
  </si>
  <si>
    <t>Técnico en Electricidad y Electricidad Industrial</t>
  </si>
  <si>
    <t>Técnico en Deporte, Recreación y Preparación Física</t>
  </si>
  <si>
    <t>Técnico en Mantenimiento Industrial</t>
  </si>
  <si>
    <t>Técnico en Instrumentación, Automatización y Control Industrial</t>
  </si>
  <si>
    <t>Técnico Asistente del Educador Diferencial</t>
  </si>
  <si>
    <t>Técnico Agropecuario</t>
  </si>
  <si>
    <t>Técnico Dental y Asistente de Odontología</t>
  </si>
  <si>
    <t>Administración de Empresas e Ing. Asociadas</t>
  </si>
  <si>
    <t>Trabajo Social</t>
  </si>
  <si>
    <t>Contador Auditor</t>
  </si>
  <si>
    <t>Técnico en Servicio Social</t>
  </si>
  <si>
    <t>Psicopedagogía</t>
  </si>
  <si>
    <t>Ingeniería en Mecánica Automotriz</t>
  </si>
  <si>
    <t>Ingeniería en Computación e Informática</t>
  </si>
  <si>
    <t>Pedagogía en Educación de Párvulos</t>
  </si>
  <si>
    <t>Construcción Civil</t>
  </si>
  <si>
    <t>Enfermería</t>
  </si>
  <si>
    <t>Ingeniería Comercial</t>
  </si>
  <si>
    <t>Psicología</t>
  </si>
  <si>
    <t>Kinesiología</t>
  </si>
  <si>
    <t>Ingeniería Civil Industrial</t>
  </si>
  <si>
    <t>Pedagogía en Educación Física</t>
  </si>
  <si>
    <t>Nutrición y Dietética</t>
  </si>
  <si>
    <t>Pedagogía en Educación Diferencial</t>
  </si>
  <si>
    <t>Odontología</t>
  </si>
  <si>
    <t>Fonoaudiología</t>
  </si>
  <si>
    <t>Ingeniería Civil, plan común y licenciatura en Ciencias de la Ingeniería</t>
  </si>
  <si>
    <t>Tecnología Médica</t>
  </si>
  <si>
    <t>Técnico en Laboratorio Clínico</t>
  </si>
  <si>
    <t>Técnico en Computación e Informática</t>
  </si>
  <si>
    <t>Medicina</t>
  </si>
  <si>
    <t>Obstetricia y Puericultura</t>
  </si>
  <si>
    <t>Terapia Ocupacional</t>
  </si>
  <si>
    <t>Arquitectura</t>
  </si>
  <si>
    <t>Ingeniería Civil en Computación e Informática</t>
  </si>
  <si>
    <t>Química y Farmacia</t>
  </si>
  <si>
    <t>Tipo de carrera</t>
  </si>
  <si>
    <t>Carreras Técnicas</t>
  </si>
  <si>
    <t>Carreras Profesionales</t>
  </si>
  <si>
    <t>Diurno</t>
  </si>
  <si>
    <t>Vespertino</t>
  </si>
  <si>
    <t>n/a</t>
  </si>
  <si>
    <t>Técnico de Nivel Superior</t>
  </si>
  <si>
    <t xml:space="preserve">Hoja </t>
  </si>
  <si>
    <t>Tabla</t>
  </si>
  <si>
    <t>NOTA: En caso de utilizar datos de esta base para notas periodísticas o estudios, se debe citar como fuente de los datos al Servicio de Información de Educación Superior (SIES), de Mineduc</t>
  </si>
  <si>
    <t>Otro</t>
  </si>
  <si>
    <t>Área de conocimiento</t>
  </si>
  <si>
    <t>Tipo de jornada</t>
  </si>
  <si>
    <t>Tipo de carrera y jornada</t>
  </si>
  <si>
    <t>Región</t>
  </si>
  <si>
    <t>Volver al índice</t>
  </si>
  <si>
    <t>Carreras de CFT con mayor retención</t>
  </si>
  <si>
    <t>Carreras de CFT con menor retención</t>
  </si>
  <si>
    <t>Carreras de IP con mayor retención</t>
  </si>
  <si>
    <t>Carreras de IP con menor retención</t>
  </si>
  <si>
    <t>Mujeres</t>
  </si>
  <si>
    <t>Hombres</t>
  </si>
  <si>
    <t>Tipo de dependencia</t>
  </si>
  <si>
    <t>Municipal</t>
  </si>
  <si>
    <t>Particular Pagado</t>
  </si>
  <si>
    <t>Tipo de enseñanza</t>
  </si>
  <si>
    <t>Tipo de institución</t>
  </si>
  <si>
    <t>U. Cruch Estatal</t>
  </si>
  <si>
    <t>U. Cruch Privada</t>
  </si>
  <si>
    <t>Licenciatura no conducente a título</t>
  </si>
  <si>
    <t>Bachillerato, ciclo inicial o plan común</t>
  </si>
  <si>
    <t>Tipo de institución y carrera</t>
  </si>
  <si>
    <t xml:space="preserve">Profesional sin licenciatura </t>
  </si>
  <si>
    <t xml:space="preserve">Profesional con licenciatura </t>
  </si>
  <si>
    <t xml:space="preserve">Tipo de carrera y área </t>
  </si>
  <si>
    <t>Acreditada</t>
  </si>
  <si>
    <t>Principales carreras de CFT</t>
  </si>
  <si>
    <t>Principales carreras de IP</t>
  </si>
  <si>
    <t>Principales carreras de Universidades</t>
  </si>
  <si>
    <r>
      <t>Retención 1</t>
    </r>
    <r>
      <rPr>
        <b/>
        <vertAlign val="superscript"/>
        <sz val="10"/>
        <color theme="1"/>
        <rFont val="Calibri"/>
        <family val="2"/>
        <scheme val="minor"/>
      </rPr>
      <t>er</t>
    </r>
    <r>
      <rPr>
        <b/>
        <sz val="10"/>
        <color theme="1"/>
        <rFont val="Calibri"/>
        <family val="2"/>
        <scheme val="minor"/>
      </rPr>
      <t xml:space="preserve"> año - Total</t>
    </r>
  </si>
  <si>
    <t xml:space="preserve">Tipo de dependencia y de carrera </t>
  </si>
  <si>
    <t>Tipo de enseñanza y de institución</t>
  </si>
  <si>
    <t xml:space="preserve">Tipo de enseñanza y de carrera </t>
  </si>
  <si>
    <t>Programas regulares desde 4 semestres para Carreras Técnicas, 6 para Carreras Profesionales sin Licenciatura  y 8 para Carreras Profesionales con Licenciatura.</t>
  </si>
  <si>
    <t>Índice de tablas</t>
  </si>
  <si>
    <r>
      <t>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GENERAL</t>
    </r>
  </si>
  <si>
    <r>
      <t>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POR CARRERAS GENÉRICAS</t>
    </r>
  </si>
  <si>
    <r>
      <t>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POR TIPO DE ESTABLECIMIENTO SECUNDARIO DE ORIGEN</t>
    </r>
  </si>
  <si>
    <r>
      <t>RETENCIÓN DE 1</t>
    </r>
    <r>
      <rPr>
        <b/>
        <vertAlign val="superscript"/>
        <sz val="14"/>
        <color theme="1"/>
        <rFont val="Calibri"/>
        <family val="2"/>
        <scheme val="minor"/>
      </rPr>
      <t>er</t>
    </r>
    <r>
      <rPr>
        <b/>
        <sz val="14"/>
        <color theme="1"/>
        <rFont val="Calibri"/>
        <family val="2"/>
        <scheme val="minor"/>
      </rPr>
      <t xml:space="preserve"> AÑO - CARRERAS GENÉRICAS</t>
    </r>
  </si>
  <si>
    <t xml:space="preserve">Tipo de institución </t>
  </si>
  <si>
    <t>Tipo de carrera y región</t>
  </si>
  <si>
    <r>
      <t xml:space="preserve"> Retención 1</t>
    </r>
    <r>
      <rPr>
        <b/>
        <vertAlign val="superscript"/>
        <sz val="10"/>
        <color theme="1"/>
        <rFont val="Calibri"/>
        <family val="2"/>
        <scheme val="minor"/>
      </rPr>
      <t>er</t>
    </r>
    <r>
      <rPr>
        <b/>
        <sz val="10"/>
        <color theme="1"/>
        <rFont val="Calibri"/>
        <family val="2"/>
        <scheme val="minor"/>
      </rPr>
      <t xml:space="preserve"> año - Total</t>
    </r>
  </si>
  <si>
    <r>
      <t>RETENCIÓN DE 1</t>
    </r>
    <r>
      <rPr>
        <b/>
        <vertAlign val="superscript"/>
        <sz val="14"/>
        <color theme="1"/>
        <rFont val="Calibri"/>
        <family val="2"/>
        <scheme val="minor"/>
      </rPr>
      <t>er</t>
    </r>
    <r>
      <rPr>
        <b/>
        <sz val="14"/>
        <color theme="1"/>
        <rFont val="Calibri"/>
        <family val="2"/>
        <scheme val="minor"/>
      </rPr>
      <t xml:space="preserve"> AÑO - ESTABLECIMIENTO SECUNDARIO DE ORIGEN</t>
    </r>
  </si>
  <si>
    <t>Bachillerato, Ciclo Inicial o Plan Común</t>
  </si>
  <si>
    <t>Programas regulares desde 4 semestres para Carreras Técnicas, Bachillerato y Planes comunes, 6 para Carreras Profesionales sin Licenciatura  y 8 para Carreras Profesionales con Licenciatura.</t>
  </si>
  <si>
    <t>Técnico en Logística</t>
  </si>
  <si>
    <t>Administración Pública</t>
  </si>
  <si>
    <t>Bachillerato y/o Licenciatura en Salud</t>
  </si>
  <si>
    <t>Particular Subvencionado</t>
  </si>
  <si>
    <t>Con Beneficios Estudiantiles</t>
  </si>
  <si>
    <t>Sin Beneficios Estudiantiles</t>
  </si>
  <si>
    <t>Tipo de Institución</t>
  </si>
  <si>
    <t>COMPARACIÓN 3 TASAS (RETENCIÓN, PERSISTENCIA EN LA INSTITUCIÓN, PERSISTENCIA EN EDUCACIÓN SUPERIOR)</t>
  </si>
  <si>
    <t>Fuente: Servicio de Información de Educación Superior (SIES)</t>
  </si>
  <si>
    <t>UNIVERSIDAD TECNOLOGICA METROPOLITANA</t>
  </si>
  <si>
    <t>UNIVERSIDAD TECNICA FEDERICO SANTA MARIA</t>
  </si>
  <si>
    <t>UNIVERSIDAD SEK</t>
  </si>
  <si>
    <t>UNIVERSIDAD SANTO TOMAS</t>
  </si>
  <si>
    <t>UNIVERSIDAD SAN SEBASTIAN</t>
  </si>
  <si>
    <t>UNIVERSIDAD MIGUEL DE CERVANTES</t>
  </si>
  <si>
    <t>UNIVERSIDAD METROPOLITANA DE CIENCIAS DE LA EDUCACION</t>
  </si>
  <si>
    <t>UNIVERSIDAD MAYOR</t>
  </si>
  <si>
    <t>UNIVERSIDAD GABRIELA MISTRAL</t>
  </si>
  <si>
    <t>UNIVERSIDAD FINIS TERRAE</t>
  </si>
  <si>
    <t>UNIVERSIDAD DIEGO PORTALES</t>
  </si>
  <si>
    <t>UNIVERSIDAD DEL DESARROLLO</t>
  </si>
  <si>
    <t>UNIVERSIDAD DEL BIO-BIO</t>
  </si>
  <si>
    <t>UNIVERSIDAD DE VIÑA DEL MAR</t>
  </si>
  <si>
    <t>UNIVERSIDAD DE VALPARAISO</t>
  </si>
  <si>
    <t>UNIVERSIDAD DE TARAPACA</t>
  </si>
  <si>
    <t>UNIVERSIDAD DE TALCA</t>
  </si>
  <si>
    <t>UNIVERSIDAD DE SANTIAGO DE CHILE</t>
  </si>
  <si>
    <t>UNIVERSIDAD DE PLAYA ANCHA DE CIENCIAS DE LA EDUCACION</t>
  </si>
  <si>
    <t>UNIVERSIDAD DE MAGALLANES</t>
  </si>
  <si>
    <t>UNIVERSIDAD DE LOS LAGOS</t>
  </si>
  <si>
    <t>UNIVERSIDAD DE LOS ANDES</t>
  </si>
  <si>
    <t>UNIVERSIDAD DE LAS AMERICAS</t>
  </si>
  <si>
    <t>UNIVERSIDAD DE LA SERENA</t>
  </si>
  <si>
    <t>UNIVERSIDAD DE LA FRONTERA</t>
  </si>
  <si>
    <t>UNIVERSIDAD DE CONCEPCION</t>
  </si>
  <si>
    <t>UNIVERSIDAD DE CHILE</t>
  </si>
  <si>
    <t>UNIVERSIDAD DE ATACAMA</t>
  </si>
  <si>
    <t>UNIVERSIDAD DE ARTES, CIENCIAS Y COMUNICACION - UNIACC</t>
  </si>
  <si>
    <t>UNIVERSIDAD DE ANTOFAGASTA</t>
  </si>
  <si>
    <t>UNIVERSIDAD DE ACONCAGUA</t>
  </si>
  <si>
    <t>UNIVERSIDAD CENTRAL DE CHILE</t>
  </si>
  <si>
    <t>UNIVERSIDAD CATOLICA DEL NORTE</t>
  </si>
  <si>
    <t>UNIVERSIDAD CATOLICA DEL MAULE</t>
  </si>
  <si>
    <t>UNIVERSIDAD CATOLICA DE TEMUCO</t>
  </si>
  <si>
    <t>UNIVERSIDAD CATOLICA DE LA SANTISIMA CONCEPCION</t>
  </si>
  <si>
    <t>UNIVERSIDAD BERNARDO O'HIGGINS</t>
  </si>
  <si>
    <t>UNIVERSIDAD AUTONOMA DE CHILE</t>
  </si>
  <si>
    <t>UNIVERSIDAD AUSTRAL DE CHILE</t>
  </si>
  <si>
    <t>UNIVERSIDAD ARTURO PRAT</t>
  </si>
  <si>
    <t>UNIVERSIDAD ANDRES BELLO</t>
  </si>
  <si>
    <t>UNIVERSIDAD ALBERTO HURTADO</t>
  </si>
  <si>
    <t>UNIVERSIDAD ADVENTISTA DE CHILE</t>
  </si>
  <si>
    <t>UNIVERSIDAD ADOLFO IBAÑEZ</t>
  </si>
  <si>
    <t>UNIVERSIDAD ACADEMIA DE HUMANISMO CRISTIANO</t>
  </si>
  <si>
    <t>PONTIFICIA UNIVERSIDAD CATOLICA DE VALPARAISO</t>
  </si>
  <si>
    <t>PONTIFICIA UNIVERSIDAD CATOLICA DE CHILE</t>
  </si>
  <si>
    <t>IP SANTO TOMAS</t>
  </si>
  <si>
    <t>IP PROVIDENCIA</t>
  </si>
  <si>
    <t>IP PROJAZZ</t>
  </si>
  <si>
    <t>IP LOS LEONES</t>
  </si>
  <si>
    <t>IP INSTITUTO NACIONAL DEL FUTBOL</t>
  </si>
  <si>
    <t>IP INSTITUTO INTERNACIONAL DE ARTES CULINARIAS Y SERVICIOS</t>
  </si>
  <si>
    <t>IP INACAP</t>
  </si>
  <si>
    <t>IP ESCUELA MODERNA DE MUSICA</t>
  </si>
  <si>
    <t>IP ESCUELA DE CONTADORES AUDITORES DE SANTIAGO</t>
  </si>
  <si>
    <t>IP DUOC UC</t>
  </si>
  <si>
    <t>IP DR. VIRGINIO GOMEZ G.</t>
  </si>
  <si>
    <t>IP DIEGO PORTALES</t>
  </si>
  <si>
    <t>IP DEL VALLE CENTRAL</t>
  </si>
  <si>
    <t>IP DE CHILE</t>
  </si>
  <si>
    <t>IP AIEP</t>
  </si>
  <si>
    <t>IP AGRARIO ADOLFO MATTHEI</t>
  </si>
  <si>
    <t>IP IPG</t>
  </si>
  <si>
    <t>CFT TEODORO WICKEL KLUWEN</t>
  </si>
  <si>
    <t>CFT SANTO TOMAS</t>
  </si>
  <si>
    <t>CFT MANPOWER</t>
  </si>
  <si>
    <t>CFT LOTA-ARAUCO</t>
  </si>
  <si>
    <t>CFT LAPLACE</t>
  </si>
  <si>
    <t>CFT JUAN BOHON</t>
  </si>
  <si>
    <t>CFT INSTITUTO SUPERIOR ALEMAN DE COMERCIO INSALCO</t>
  </si>
  <si>
    <t>CFT INACAP</t>
  </si>
  <si>
    <t>CFT DEL MEDIO AMBIENTE</t>
  </si>
  <si>
    <t>CFT DE ENAC</t>
  </si>
  <si>
    <t>CFT CEDUC - UCN</t>
  </si>
  <si>
    <t>CFT ALPES</t>
  </si>
  <si>
    <t>Se considera tasa desde 10 casos identificados de la cohorte respectiva</t>
  </si>
  <si>
    <t>Arica y Parinacota</t>
  </si>
  <si>
    <t>Tarapacá</t>
  </si>
  <si>
    <t>Antofagasta</t>
  </si>
  <si>
    <t>Atacama</t>
  </si>
  <si>
    <t>Coquimbo</t>
  </si>
  <si>
    <t>Valparaíso</t>
  </si>
  <si>
    <t>Metropolitana</t>
  </si>
  <si>
    <t>Maule</t>
  </si>
  <si>
    <t>Biobío</t>
  </si>
  <si>
    <t>La Araucanía</t>
  </si>
  <si>
    <t>Los Ríos</t>
  </si>
  <si>
    <t>Los Lagos</t>
  </si>
  <si>
    <t>Aysén</t>
  </si>
  <si>
    <t>Magallanes</t>
  </si>
  <si>
    <t>Medicina Veterinaria</t>
  </si>
  <si>
    <t>UNIVERSIDAD DE O'HIGGINS</t>
  </si>
  <si>
    <t>UNIVERSIDAD DE AYSEN</t>
  </si>
  <si>
    <t>Beneficios Estudiantiles</t>
  </si>
  <si>
    <t>Centros de Formación Técnica Estatal</t>
  </si>
  <si>
    <t>Semipresencial</t>
  </si>
  <si>
    <t>A Distancia</t>
  </si>
  <si>
    <t>Ñuble</t>
  </si>
  <si>
    <t>Pedagogía en Idiomas</t>
  </si>
  <si>
    <t>Periodismo</t>
  </si>
  <si>
    <t>Técnico en Peluquería y Estética</t>
  </si>
  <si>
    <t>* Se presenta el indicador solo si contiene al menos 10 casos de estudiantes de 1er año.</t>
  </si>
  <si>
    <t>Sin información</t>
  </si>
  <si>
    <t>CFT ESCUELA CULINARIA FRANCESA</t>
  </si>
  <si>
    <t>CFT SAN AGUSTIN</t>
  </si>
  <si>
    <t>CFT PUCV</t>
  </si>
  <si>
    <t>CFT DE LA REGION DEL MAULE</t>
  </si>
  <si>
    <t>CFT DE LA REGION DE LA ARAUCANIA</t>
  </si>
  <si>
    <t>IP ESCUELA DE MARINA MERCANTE PILOTO PARDO</t>
  </si>
  <si>
    <t>IP LATINOAMERICANO DE COMERCIO EXTERIOR - IPLACEX</t>
  </si>
  <si>
    <t>IP CHILENO BRITANICO DE CULTURA</t>
  </si>
  <si>
    <t>UNIVERSIDAD CATOLICA CARDENAL RAUL SILVA HENRIQUEZ</t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</si>
  <si>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en 20 carreras genéricas con mayor matrícula 1</t>
    </r>
    <r>
      <rPr>
        <u/>
        <vertAlign val="superscript"/>
        <sz val="11"/>
        <color theme="10"/>
        <rFont val="Calibri"/>
        <family val="2"/>
        <scheme val="minor"/>
      </rPr>
      <t xml:space="preserve">er </t>
    </r>
    <r>
      <rPr>
        <u/>
        <sz val="11"/>
        <color theme="10"/>
        <rFont val="Calibri"/>
        <family val="2"/>
        <scheme val="minor"/>
      </rPr>
      <t>año - CFT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</si>
  <si>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dependencia del establecimiento secundario de origen </t>
    </r>
  </si>
  <si>
    <t>CFT DE LA REGION DE COQUIMBO</t>
  </si>
  <si>
    <t>CFT DE LA REGION DE TARAPACA</t>
  </si>
  <si>
    <t>Técnico Veterinario</t>
  </si>
  <si>
    <t>* Se presenta el indicador solo si contiene al menos 10 casos de estudiantes de 1er año, en el año respectivo</t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</si>
  <si>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10 carreras genéricas con Menor retención - CFT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</si>
  <si>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10 carreras genéricas con Mayor retención - IP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</si>
  <si>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10 carreras genéricas con Menor retención - IP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</si>
  <si>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10 carreras genéricas con Mayor retención - Universidad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</si>
  <si>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dependencia y tipo de institución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</si>
  <si>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 xml:space="preserve">er </t>
    </r>
    <r>
      <rPr>
        <u/>
        <sz val="11"/>
        <color theme="10"/>
        <rFont val="Calibri"/>
        <family val="2"/>
        <scheme val="minor"/>
      </rPr>
      <t>año de 10 carreras genéricas con Mayor retención - CFT</t>
    </r>
  </si>
  <si>
    <t>O'Higgins</t>
  </si>
  <si>
    <t>No Acreditada</t>
  </si>
  <si>
    <r>
      <t>COMPARACIÓN TASAS DE RETENCIÓN DE  1</t>
    </r>
    <r>
      <rPr>
        <b/>
        <vertAlign val="superscript"/>
        <sz val="14"/>
        <color theme="1"/>
        <rFont val="Calibri"/>
        <family val="2"/>
        <scheme val="minor"/>
      </rPr>
      <t>er</t>
    </r>
    <r>
      <rPr>
        <b/>
        <sz val="14"/>
        <color theme="1"/>
        <rFont val="Calibri"/>
        <family val="2"/>
        <scheme val="minor"/>
      </rPr>
      <t xml:space="preserve"> AÑO, PERSISTENCIA EN LA MISMA INSTITUCIÓN Y PERSISTENCIA EN EDUCACIÓN SUPERIOR</t>
    </r>
  </si>
  <si>
    <r>
      <t>Evolución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de Pregrado por tipo de institución</t>
    </r>
  </si>
  <si>
    <r>
      <t>Retención 1</t>
    </r>
    <r>
      <rPr>
        <b/>
        <vertAlign val="superscript"/>
        <sz val="10"/>
        <color theme="1"/>
        <rFont val="Calibri"/>
        <family val="2"/>
        <scheme val="minor"/>
      </rPr>
      <t>er</t>
    </r>
    <r>
      <rPr>
        <b/>
        <sz val="10"/>
        <color theme="1"/>
        <rFont val="Calibri"/>
        <family val="2"/>
        <scheme val="minor"/>
      </rPr>
      <t xml:space="preserve"> año</t>
    </r>
  </si>
  <si>
    <r>
      <t>Persistencia  1</t>
    </r>
    <r>
      <rPr>
        <b/>
        <vertAlign val="superscript"/>
        <sz val="10"/>
        <color theme="1"/>
        <rFont val="Calibri"/>
        <family val="2"/>
        <scheme val="minor"/>
      </rPr>
      <t>er</t>
    </r>
    <r>
      <rPr>
        <b/>
        <sz val="10"/>
        <color theme="1"/>
        <rFont val="Calibri"/>
        <family val="2"/>
        <scheme val="minor"/>
      </rPr>
      <t xml:space="preserve"> año en la misma institución</t>
    </r>
  </si>
  <si>
    <t>Fuente: Servicio de Información de Educación Superior (SIES), de Mineduc.</t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</si>
  <si>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tipo de institución </t>
    </r>
  </si>
  <si>
    <t>U. Privadas</t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</si>
  <si>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tipo de carrera 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</si>
  <si>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tipo de institución y carrera 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</si>
  <si>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área del conocimiento</t>
    </r>
  </si>
  <si>
    <t xml:space="preserve">Carreras Profesionales </t>
  </si>
  <si>
    <t xml:space="preserve">Carreras Profesionales considera carreras Profesionales con y sin licenciatura, licenciaturas no conducentes a título y programas de Bachillerato o planes comunes. Carreras Técnicas incluye programas Técnicos de Nivel Superior. </t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</si>
  <si>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jornada</t>
    </r>
  </si>
  <si>
    <t>Carrerras Profesionales</t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</si>
  <si>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acreditación institucional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</si>
  <si>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tipo de carrera y región 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</si>
  <si>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región 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</si>
  <si>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tipo de carrera y jornada 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</si>
  <si>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tipo de institución y acreditación</t>
    </r>
  </si>
  <si>
    <r>
      <t>Evolución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de Pregrado en 20 carreras genéricas con mayor Matrícula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- CFT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</si>
  <si>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en 20 carreras genéricas con mayor Matrícula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- IP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</si>
  <si>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en 30 carreras genéricas con mayor Matrícula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- Universidades</t>
    </r>
  </si>
  <si>
    <t>Carreras de Universidades con menor retención</t>
  </si>
  <si>
    <t>Carreras de Universidades con mayor retención</t>
  </si>
  <si>
    <t>Administración Delegada</t>
  </si>
  <si>
    <r>
      <t>Evolución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de Pregrado por tipo de dependencia del establecimiento secundario de origen </t>
    </r>
  </si>
  <si>
    <r>
      <t>Evolución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de Pregrado por tipo de dependencia e institución</t>
    </r>
  </si>
  <si>
    <t>Tipo de dependencia e institución</t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</si>
  <si>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tipo de enseñanza del establecimiento secundario de origen 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</si>
  <si>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tipo de dependencia y de carrera </t>
    </r>
  </si>
  <si>
    <t>Científico Humanista</t>
  </si>
  <si>
    <t>Técnico Profesional</t>
  </si>
  <si>
    <r>
      <t>Evolución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de Pregrado por tipo de eneñanza y de institución</t>
    </r>
  </si>
  <si>
    <r>
      <t>Evolución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de Pregrado por tipo de eneñanza y carrera</t>
    </r>
  </si>
  <si>
    <r>
      <t>Evolución de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- CFT</t>
    </r>
  </si>
  <si>
    <r>
      <t>Evolución de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- IP</t>
    </r>
  </si>
  <si>
    <r>
      <t>Evolución de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- Universidad</t>
    </r>
  </si>
  <si>
    <t>CFT DE LA REGION DE ANTOFAGASTA</t>
  </si>
  <si>
    <t>CFT DE LA REGION DE VALPARAISO</t>
  </si>
  <si>
    <t>CFT DE LA REGION METROPOLITANA DE SANTIAGO</t>
  </si>
  <si>
    <t>CFT DE LA REGION DE LOS RIOS</t>
  </si>
  <si>
    <t>CFT DE LA REGION DE LOS LAGOS</t>
  </si>
  <si>
    <t>CFT DE LA REGION DE MAGALLANES Y ANTARTICA CHILENA</t>
  </si>
  <si>
    <t>Administración Gastronómica</t>
  </si>
  <si>
    <r>
      <t>RETENCIÓN DE 1</t>
    </r>
    <r>
      <rPr>
        <b/>
        <vertAlign val="superscript"/>
        <sz val="14"/>
        <color theme="1"/>
        <rFont val="Calibri"/>
        <family val="2"/>
        <scheme val="minor"/>
      </rPr>
      <t>er</t>
    </r>
    <r>
      <rPr>
        <b/>
        <sz val="14"/>
        <color theme="1"/>
        <rFont val="Calibri"/>
        <family val="2"/>
        <scheme val="minor"/>
      </rPr>
      <t xml:space="preserve"> AÑO - GENERAL</t>
    </r>
  </si>
  <si>
    <r>
      <t>Nº casos Retención 1</t>
    </r>
    <r>
      <rPr>
        <b/>
        <vertAlign val="superscript"/>
        <sz val="10"/>
        <color theme="1"/>
        <rFont val="Calibri"/>
        <family val="2"/>
        <scheme val="minor"/>
      </rPr>
      <t>er</t>
    </r>
    <r>
      <rPr>
        <b/>
        <sz val="10"/>
        <color theme="1"/>
        <rFont val="Calibri"/>
        <family val="2"/>
        <scheme val="minor"/>
      </rPr>
      <t xml:space="preserve"> año</t>
    </r>
  </si>
  <si>
    <r>
      <t xml:space="preserve"> Retención 1</t>
    </r>
    <r>
      <rPr>
        <vertAlign val="superscript"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año Mujeres</t>
    </r>
  </si>
  <si>
    <r>
      <t xml:space="preserve"> Retención 1</t>
    </r>
    <r>
      <rPr>
        <vertAlign val="superscript"/>
        <sz val="10"/>
        <color theme="1"/>
        <rFont val="Calibri"/>
        <family val="2"/>
        <scheme val="minor"/>
      </rPr>
      <t>er</t>
    </r>
    <r>
      <rPr>
        <sz val="10"/>
        <color theme="1"/>
        <rFont val="Calibri"/>
        <family val="2"/>
        <scheme val="minor"/>
      </rPr>
      <t xml:space="preserve"> año Hombres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</si>
  <si>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institución</t>
    </r>
  </si>
  <si>
    <r>
      <t>Evolución Tasa de Persistencia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en la misma institución de carreras de pregrado por tipo de institución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</si>
  <si>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institución 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</si>
  <si>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carrera 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</si>
  <si>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institución y carrera 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</si>
  <si>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área del conocimiento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</si>
  <si>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carrera y área del conocimiento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</si>
  <si>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jornada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</si>
  <si>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carrera y jornada 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</si>
  <si>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región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</si>
  <si>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carrera y región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</si>
  <si>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acreditación institucional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</si>
  <si>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10 carreras genéricas con Menor retención - Universidad</t>
    </r>
  </si>
  <si>
    <t>Bachillerato y/o Licenciatura en Ciencias Básicas</t>
  </si>
  <si>
    <t>Técnico Laboratorista Dental</t>
  </si>
  <si>
    <t>Técnico en Traducción e Interpretariado</t>
  </si>
  <si>
    <t>Técnico en Administración de Redes y Soporte</t>
  </si>
  <si>
    <t>Publicidad</t>
  </si>
  <si>
    <t>Ingeniería Industrial</t>
  </si>
  <si>
    <t>CFT DE LA REGION DE ARICA Y PARINACOTA</t>
  </si>
  <si>
    <t>CFT DE LA REGION DE ATACAMA</t>
  </si>
  <si>
    <t>UNIVERSIDAD DEL ALBA</t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</si>
  <si>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en 20 carreras genéricas con mayor matrícula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- IP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</si>
  <si>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 xml:space="preserve">er </t>
    </r>
    <r>
      <rPr>
        <u/>
        <sz val="11"/>
        <color theme="10"/>
        <rFont val="Calibri"/>
        <family val="2"/>
        <scheme val="minor"/>
      </rPr>
      <t>año de carreras de pregrado en 30 carreras genéricas  con mayor matrícula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- Universidades</t>
    </r>
  </si>
  <si>
    <r>
      <t>Evolución de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- CFT</t>
    </r>
  </si>
  <si>
    <r>
      <t>Persistencia 1</t>
    </r>
    <r>
      <rPr>
        <b/>
        <vertAlign val="superscript"/>
        <sz val="10"/>
        <color theme="1"/>
        <rFont val="Calibri"/>
        <family val="2"/>
        <scheme val="minor"/>
      </rPr>
      <t>er</t>
    </r>
    <r>
      <rPr>
        <b/>
        <sz val="10"/>
        <color theme="1"/>
        <rFont val="Calibri"/>
        <family val="2"/>
        <scheme val="minor"/>
      </rPr>
      <t xml:space="preserve"> año en Educación Superior</t>
    </r>
  </si>
  <si>
    <t>Profesional sin licenciatura</t>
  </si>
  <si>
    <t>CFT DE LA REGION DEL LIBERTADOR GENERAL BERNARDO O'HIGGINS</t>
  </si>
  <si>
    <t>CFT DE LA REGION DEL BIO BIO</t>
  </si>
  <si>
    <t>CFT DE LA REGION DE AYSEN DEL GENERAL CARLOS IBAÑEZ DEL CAMPO</t>
  </si>
  <si>
    <t>Profesional con licenciatura</t>
  </si>
  <si>
    <t>Ingeniería en Electricidad</t>
  </si>
  <si>
    <t>Ingeniería en Logística</t>
  </si>
  <si>
    <t>Ingeniería en Energía</t>
  </si>
  <si>
    <t>Técnico en Administración en Marketing</t>
  </si>
  <si>
    <t>Sexo</t>
  </si>
  <si>
    <t>Sexo y tipo de institución</t>
  </si>
  <si>
    <t xml:space="preserve">Sexo y tipo de institución </t>
  </si>
  <si>
    <t>Sexo y tipo de carrera</t>
  </si>
  <si>
    <t>Sexo y área de conocimiento</t>
  </si>
  <si>
    <t>M</t>
  </si>
  <si>
    <t>H</t>
  </si>
  <si>
    <t>IP ESCUELA DE COMERCIO DE SANTIAGO</t>
  </si>
  <si>
    <t>Cod. Institución</t>
  </si>
  <si>
    <r>
      <t>RETENCIÓN DE 1</t>
    </r>
    <r>
      <rPr>
        <b/>
        <vertAlign val="superscript"/>
        <sz val="12"/>
        <color rgb="FF000000"/>
        <rFont val="Calibri"/>
        <family val="2"/>
        <scheme val="minor"/>
      </rPr>
      <t xml:space="preserve">er </t>
    </r>
    <r>
      <rPr>
        <b/>
        <sz val="12"/>
        <color rgb="FF000000"/>
        <rFont val="Calibri"/>
        <family val="2"/>
        <scheme val="minor"/>
      </rPr>
      <t>AÑO POR SEXO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</si>
  <si>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tipo carrera y área del conocimiento</t>
    </r>
  </si>
  <si>
    <t>Servicios Locales de Educación Pública</t>
  </si>
  <si>
    <t>Bajo tutela</t>
  </si>
  <si>
    <t>IP IACC</t>
  </si>
  <si>
    <t>IP EATRI</t>
  </si>
  <si>
    <t>IP ARCOS</t>
  </si>
  <si>
    <t>IP SAN SEBASTIAN</t>
  </si>
  <si>
    <t>Técnico en Diseño Gráfico</t>
  </si>
  <si>
    <t>Pedagogía en Educación Básica</t>
  </si>
  <si>
    <t>Técnico en Química (Análisis e Industrial)</t>
  </si>
  <si>
    <t>Técnico en Administración Pública o Municipal</t>
  </si>
  <si>
    <t>Técnico en Radiología y Radioterapia</t>
  </si>
  <si>
    <t>Técnico en Electromecánica</t>
  </si>
  <si>
    <t>Acreditación Institucional                                    (año de la cohorte)</t>
  </si>
  <si>
    <t>Acreditación institucional                                  (año de la cohorte)</t>
  </si>
  <si>
    <t>Retención Misma Institución</t>
  </si>
  <si>
    <t>Persistencia Misma Institución</t>
  </si>
  <si>
    <t>Persistencia en Educación Superior</t>
  </si>
  <si>
    <t>No Matrícula</t>
  </si>
  <si>
    <t>Técnico en Acuicultura y Pesca</t>
  </si>
  <si>
    <t>Técnico en Mecatrónica</t>
  </si>
  <si>
    <t>Ingeniería en Telecomunicaciones</t>
  </si>
  <si>
    <t>Ingeniería en Recursos Humanos</t>
  </si>
  <si>
    <t>Agronomía</t>
  </si>
  <si>
    <t>Fotografía</t>
  </si>
  <si>
    <t>Traducción e Interpretación</t>
  </si>
  <si>
    <t>Técnico en Transporte Marítimo y Puertos</t>
  </si>
  <si>
    <t>Música, Canto o Danza</t>
  </si>
  <si>
    <t>Técnico en Refrigeración y Climatización</t>
  </si>
  <si>
    <t>CFT ACADEMIA CHILENA DE YOGA</t>
  </si>
  <si>
    <t>CFT CENCO</t>
  </si>
  <si>
    <t>CFT PRODATA</t>
  </si>
  <si>
    <t>Variación p.p. 2015 - 2024</t>
  </si>
  <si>
    <t>Variación p.p. 2020 - 2024</t>
  </si>
  <si>
    <t>Variación p.p. 2023 - 2024</t>
  </si>
  <si>
    <t>Técnico en Podología</t>
  </si>
  <si>
    <t>Diseño Gráfico</t>
  </si>
  <si>
    <t>Técnico en Metalurgia</t>
  </si>
  <si>
    <t>Técnico en Prevención y Rehabilitación</t>
  </si>
  <si>
    <t>Técnico en Mecánica Industrial</t>
  </si>
  <si>
    <t>Técnico en Topografía</t>
  </si>
  <si>
    <t>Secretariado Bilingüe</t>
  </si>
  <si>
    <t>Relaciones Públicas</t>
  </si>
  <si>
    <t>Ingeniería Agrícola</t>
  </si>
  <si>
    <t>Comunicación Audiovisual y/o Multimedia</t>
  </si>
  <si>
    <t>Técnico Jurídico</t>
  </si>
  <si>
    <t>Técnico en Minería</t>
  </si>
  <si>
    <t>Técnico en Producción Gráfica y Multimedia</t>
  </si>
  <si>
    <t>Ingeniería en Minas</t>
  </si>
  <si>
    <t>Ingeniería Mecánica</t>
  </si>
  <si>
    <t>IP CICERON</t>
  </si>
  <si>
    <r>
      <t>Evolución Retención de 1</t>
    </r>
    <r>
      <rPr>
        <b/>
        <vertAlign val="superscript"/>
        <sz val="11"/>
        <color theme="1"/>
        <rFont val="Calibri"/>
        <family val="2"/>
        <scheme val="minor"/>
      </rPr>
      <t>er</t>
    </r>
    <r>
      <rPr>
        <b/>
        <sz val="11"/>
        <color theme="1"/>
        <rFont val="Calibri"/>
        <family val="2"/>
        <scheme val="minor"/>
      </rPr>
      <t xml:space="preserve"> año de  Pregrado, cohorte  2007 - 2024</t>
    </r>
  </si>
  <si>
    <t>Evolución Situación de Retención, Persistencia y No Matrícula en carreras de Pregrado (cohortes 2007 - 2024)</t>
  </si>
  <si>
    <t>Evolución Situación de Retención, Persistencia y No Matrícula en carreras de Pregrado (cohortes 2007 - 2024) - CFT</t>
  </si>
  <si>
    <t>Evolución Situación de Retención, Persistencia y No Matrícula en carreras de Pregrado (cohortes 2007 - 2024) - IP</t>
  </si>
  <si>
    <t>Evolución Situación de Retención, Persistencia y No Matrícula en carreras de Pregrado (cohortes 2007 - 2024) - Universidades</t>
  </si>
  <si>
    <r>
      <t>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POR INSTITUCIONES DE EDUCACIÓN SUPERIOR (COHORTES 2007 A 2024)</t>
    </r>
  </si>
  <si>
    <r>
      <t>Tasas de Retención, Persistencia en la misma institución y Persistencia en Educación Superior, para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año, de carreras de Pregrado por tipo de institución (cohorte 2024)</t>
    </r>
  </si>
  <si>
    <r>
      <t>Tasas de Retención, Persistencia en la misma institución y Persistencia en Educación Superior, para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año,  de carreras de Pregrado por presencia o no de beneficios (cohorte 2024)</t>
    </r>
  </si>
  <si>
    <r>
      <t>Tasas de Retención, Persistencia en la misma institución y Persistencia en Educación Superior, para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año,  de carreras de Pregrado por presencia o no de beneficios y tipo de institución (cohorte 2024)</t>
    </r>
  </si>
  <si>
    <r>
      <t>RETENCIÓN 1</t>
    </r>
    <r>
      <rPr>
        <b/>
        <vertAlign val="superscript"/>
        <sz val="14"/>
        <color theme="1"/>
        <rFont val="Calibri"/>
        <family val="2"/>
        <scheme val="minor"/>
      </rPr>
      <t>er</t>
    </r>
    <r>
      <rPr>
        <b/>
        <sz val="14"/>
        <color theme="1"/>
        <rFont val="Calibri"/>
        <family val="2"/>
        <scheme val="minor"/>
      </rPr>
      <t xml:space="preserve"> AÑO DE PREGRADO - Evolución cohortes 2007 - 2024</t>
    </r>
  </si>
  <si>
    <t>Considera cohortes desde 10 casos para cada año de referencia. Se informa solo si tiene datos de retención 1er año cohorte 2024.</t>
  </si>
  <si>
    <r>
      <t>Evolución de la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las 10 carreras genéricas con Mayor Retención 2024 - CFT</t>
    </r>
  </si>
  <si>
    <r>
      <t>Evolución de la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las 10 carreras genéricas con Menor Retención 2024 - CFT</t>
    </r>
  </si>
  <si>
    <r>
      <t>Evolución de la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las 10 carreras genéricas con Mayor Retención 2024 - IP</t>
    </r>
  </si>
  <si>
    <r>
      <t>Evolución de la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las 10 carreras genéricas con Menor Retención 2024 - IP</t>
    </r>
  </si>
  <si>
    <r>
      <t>Evolución de la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las 10 carreras genéricas con Mayor Retención 2024 - Universidades</t>
    </r>
  </si>
  <si>
    <r>
      <t>Evolución de la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las 10 carreras genéricas con Menor Retención 2024 - Universidades</t>
    </r>
  </si>
  <si>
    <t>Nombre de la institución</t>
  </si>
  <si>
    <r>
      <t>Se consideran carreras con 100 o más matriculados de 1</t>
    </r>
    <r>
      <rPr>
        <i/>
        <vertAlign val="superscript"/>
        <sz val="10"/>
        <color theme="1"/>
        <rFont val="Calibri"/>
        <family val="2"/>
        <scheme val="minor"/>
      </rPr>
      <t>er</t>
    </r>
    <r>
      <rPr>
        <i/>
        <sz val="10"/>
        <color theme="1"/>
        <rFont val="Calibri"/>
        <family val="2"/>
        <scheme val="minor"/>
      </rPr>
      <t xml:space="preserve"> año de la cohorte 2024. Se presenta el indicador solo si contiene al menos 10 casos de estudiantes de 1er año, en el año respectivo</t>
    </r>
  </si>
  <si>
    <t>Tipo de situación</t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</si>
  <si>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institución y acreditación</t>
    </r>
  </si>
  <si>
    <r>
      <t>Evolución Tasa de Persistencia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en ES de carreras de pregrado por tipo de institución</t>
    </r>
  </si>
  <si>
    <r>
      <t>Tasas de Retención, Persistencia en la misma institución y Persistencia en Educación Superior, para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año, de carreras de Pregrado por tipo de institución (cohorte 2024)</t>
    </r>
  </si>
  <si>
    <r>
      <t>Tasas de Retención, Persistencia en la misma institución y Persistencia en ES, para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año,  de carreras de pregrado por presencia o no de beneficios</t>
    </r>
  </si>
  <si>
    <r>
      <t>Tasas de Retención, Persistencia en la misma institución y Persistencia en ES, para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año,  de carreras de pregrado por presencia o no de beneficios y tipo de institución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</si>
  <si>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sexo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</si>
  <si>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sexo y tipo de institución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</si>
  <si>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sexo y tipo de institución 2 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</si>
  <si>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sexo y tipo de carrera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</si>
  <si>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sexo - CFT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</si>
  <si>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sexo - IP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</si>
  <si>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sexo - Universidades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</si>
  <si>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sexo y área de conocimiento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</si>
  <si>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genéricas por sexo - CFT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</si>
  <si>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genéricas por sexo - IP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</si>
  <si>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genéricas por sexo - Universidades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</si>
  <si>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dependencia y tipo de carrera 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</si>
  <si>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enseñanza del establecimiento secundario de origen 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</si>
  <si>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enseñanza y de institución</t>
    </r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</si>
  <si>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de pregrado por tipo de enseñanza y carrera </t>
    </r>
  </si>
  <si>
    <r>
      <t>Evolución de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- IP</t>
    </r>
  </si>
  <si>
    <r>
      <t>Evolución de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- Universidades</t>
    </r>
  </si>
  <si>
    <r>
      <t>Evolución de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técnicas - IP</t>
    </r>
  </si>
  <si>
    <r>
      <t>Evolución de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profesionales - IP</t>
    </r>
  </si>
  <si>
    <r>
      <t>Evolución de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técnicas - Universidades</t>
    </r>
  </si>
  <si>
    <r>
      <t>Evolución de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carreras profesionales - Universidades</t>
    </r>
  </si>
  <si>
    <r>
      <t>Evolución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de Pregrado por tipo de institución (cohortes 2007 - 2024)</t>
    </r>
  </si>
  <si>
    <r>
      <t>Evolución Tasa de Persistencia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en la misma institución de carreras de Pregrado por tipo de institución (cohortes 2007 - 2024)</t>
    </r>
  </si>
  <si>
    <r>
      <t>Evolución Tasa de Persistencia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en Educación Superior de carreras de Pregrado por tipo de institución (cohortes 2007 - 2024)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</si>
  <si>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Pedagogías - Universidad</t>
    </r>
  </si>
  <si>
    <t>Pedagogía en Lenguaje, Comunicación y/o Castellano</t>
  </si>
  <si>
    <t>Pedagogía en Historia, Geografía y Ciencias Sociales</t>
  </si>
  <si>
    <t>Pedagogía en Matemáticas y Computación</t>
  </si>
  <si>
    <t>Pedagogía en Artes y Música</t>
  </si>
  <si>
    <t>Pedagogía en Ciencias</t>
  </si>
  <si>
    <t>Pedagogía en Filosofía y Religión</t>
  </si>
  <si>
    <t>Pedagogía en Educación Tecnológica</t>
  </si>
  <si>
    <t>Carreras de Pedagogía</t>
  </si>
  <si>
    <r>
      <t>Evolución Retención de 1</t>
    </r>
    <r>
      <rPr>
        <u/>
        <vertAlign val="superscript"/>
        <sz val="11"/>
        <color theme="10"/>
        <rFont val="Calibri"/>
        <family val="2"/>
        <scheme val="minor"/>
      </rPr>
      <t>er</t>
    </r>
    <r>
      <rPr>
        <u/>
        <sz val="11"/>
        <color theme="10"/>
        <rFont val="Calibri"/>
        <family val="2"/>
        <scheme val="minor"/>
      </rPr>
      <t xml:space="preserve"> año de Pedagogías - Universidad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</si>
  <si>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sexo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</si>
  <si>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sexo y tipo de institución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</si>
  <si>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sexo y tipo de institución 2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</si>
  <si>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sexo y tipo de carrera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</si>
  <si>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sexo - CFT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</si>
  <si>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sexo - IP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</si>
  <si>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sexo - Universidades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</si>
  <si>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carreras de Pregrado por sexo y área de conocimiento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</si>
  <si>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10 carreras genéricas con mayor Matrícula por sexo - CFT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</si>
  <si>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10 carreras genéricas con mayor Matrícula por sexo - IP</t>
    </r>
  </si>
  <si>
    <r>
      <t>Evolución Retención de 1</t>
    </r>
    <r>
      <rPr>
        <b/>
        <vertAlign val="superscript"/>
        <sz val="12"/>
        <color rgb="FF000000"/>
        <rFont val="Calibri"/>
        <family val="2"/>
        <scheme val="minor"/>
      </rPr>
      <t>er</t>
    </r>
    <r>
      <rPr>
        <b/>
        <sz val="12"/>
        <color rgb="FF000000"/>
        <rFont val="Calibri"/>
        <family val="2"/>
        <scheme val="minor"/>
      </rPr>
      <t xml:space="preserve"> año de 20 carreras genéricas con mayor Matrícula por sexo - Universidades</t>
    </r>
  </si>
  <si>
    <r>
      <t>RETENCIÓN DE 1</t>
    </r>
    <r>
      <rPr>
        <b/>
        <vertAlign val="superscript"/>
        <sz val="14"/>
        <color theme="1"/>
        <rFont val="Calibri"/>
        <family val="2"/>
        <scheme val="minor"/>
      </rPr>
      <t>er</t>
    </r>
    <r>
      <rPr>
        <b/>
        <sz val="14"/>
        <color theme="1"/>
        <rFont val="Calibri"/>
        <family val="2"/>
        <scheme val="minor"/>
      </rPr>
      <t xml:space="preserve"> AÑO - SEXO</t>
    </r>
  </si>
  <si>
    <r>
      <t>Evolución de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técnicas - IP</t>
    </r>
  </si>
  <si>
    <r>
      <t>Evolución de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profesionales - IP</t>
    </r>
  </si>
  <si>
    <r>
      <t>Evolución de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técnicas - Universidades</t>
    </r>
  </si>
  <si>
    <r>
      <t>Evolución de Retención de 1</t>
    </r>
    <r>
      <rPr>
        <b/>
        <vertAlign val="superscript"/>
        <sz val="12"/>
        <color theme="1"/>
        <rFont val="Calibri"/>
        <family val="2"/>
        <scheme val="minor"/>
      </rPr>
      <t>er</t>
    </r>
    <r>
      <rPr>
        <b/>
        <sz val="12"/>
        <color theme="1"/>
        <rFont val="Calibri"/>
        <family val="2"/>
        <scheme val="minor"/>
      </rPr>
      <t xml:space="preserve"> año de carreras profesionales - Universidades</t>
    </r>
  </si>
  <si>
    <r>
      <t>INFORME 2025| RETENCIÓN DE 1</t>
    </r>
    <r>
      <rPr>
        <b/>
        <vertAlign val="superscript"/>
        <sz val="26"/>
        <color theme="1"/>
        <rFont val="Calibri"/>
        <family val="2"/>
        <scheme val="minor"/>
      </rPr>
      <t>er</t>
    </r>
    <r>
      <rPr>
        <b/>
        <sz val="26"/>
        <color theme="1"/>
        <rFont val="Calibri"/>
        <family val="2"/>
        <scheme val="minor"/>
      </rPr>
      <t xml:space="preserve"> AÑO DE PREGRADO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</si>
</sst>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 * #,##0_ ;_ * \-#,##0_ ;_ * &quot;-&quot;_ ;_ @_ "/>
    <numFmt numFmtId="165" formatCode="_-* #,##0.00\ _€_-;\-* #,##0.00\ _€_-;_-* &quot;-&quot;??\ _€_-;_-@_-"/>
    <numFmt numFmtId="166" formatCode="0.0%"/>
    <numFmt numFmtId="167" formatCode="_-* #,##0_-;\-* #,##0_-;_-* &quot;-&quot;??_-;_-@_-"/>
    <numFmt numFmtId="168" formatCode="_-* #,##0.0\ _€_-;\-* #,##0.0\ _€_-;_-* &quot;-&quot;??\ _€_-;_-@_-"/>
    <numFmt numFmtId="169" formatCode="0.0"/>
    <numFmt numFmtId="170" formatCode="_ * #,##0.0_ ;_ * \-#,##0.0_ ;_ * &quot;-&quot;?_ ;_ @_ "/>
    <numFmt numFmtId="171" formatCode="_ * #,##0.00_ ;_ * \-#,##0.00_ ;_ * &quot;-&quot;_ ;_ @_ "/>
    <numFmt numFmtId="172" formatCode="0.000%"/>
    <numFmt numFmtId="173" formatCode="_ * #,##0.0_ ;_ * \-#,##0.0_ ;_ * &quot;-&quot;_ ;_ @_ 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vertAlign val="superscript"/>
      <sz val="12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vertAlign val="superscript"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mbria"/>
      <family val="2"/>
      <scheme val="major"/>
    </font>
    <font>
      <sz val="11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vertAlign val="superscript"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/>
    <xf numFmtId="9" fontId="27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4" applyAlignment="1">
      <alignment vertical="center"/>
    </xf>
    <xf numFmtId="0" fontId="9" fillId="0" borderId="0" xfId="0" applyFont="1" applyAlignment="1">
      <alignment vertical="center"/>
    </xf>
    <xf numFmtId="0" fontId="8" fillId="0" borderId="0" xfId="4" applyFont="1" applyAlignment="1">
      <alignment horizontal="center" vertical="center"/>
    </xf>
    <xf numFmtId="0" fontId="2" fillId="0" borderId="0" xfId="4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4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167" fontId="5" fillId="2" borderId="1" xfId="2" applyNumberFormat="1" applyFont="1" applyFill="1" applyBorder="1" applyAlignment="1">
      <alignment horizontal="left" vertical="center"/>
    </xf>
    <xf numFmtId="166" fontId="5" fillId="2" borderId="1" xfId="1" applyNumberFormat="1" applyFont="1" applyFill="1" applyBorder="1" applyAlignment="1">
      <alignment horizontal="center" vertical="center"/>
    </xf>
    <xf numFmtId="167" fontId="6" fillId="2" borderId="1" xfId="2" applyNumberFormat="1" applyFont="1" applyFill="1" applyBorder="1" applyAlignment="1">
      <alignment horizontal="left" vertical="center"/>
    </xf>
    <xf numFmtId="166" fontId="6" fillId="2" borderId="1" xfId="1" applyNumberFormat="1" applyFont="1" applyFill="1" applyBorder="1" applyAlignment="1">
      <alignment horizontal="center" vertical="center"/>
    </xf>
    <xf numFmtId="167" fontId="5" fillId="0" borderId="1" xfId="2" applyNumberFormat="1" applyFont="1" applyFill="1" applyBorder="1" applyAlignment="1">
      <alignment horizontal="left" vertical="center"/>
    </xf>
    <xf numFmtId="167" fontId="6" fillId="0" borderId="1" xfId="2" applyNumberFormat="1" applyFont="1" applyFill="1" applyBorder="1" applyAlignment="1">
      <alignment horizontal="left" vertical="center"/>
    </xf>
    <xf numFmtId="167" fontId="6" fillId="2" borderId="0" xfId="2" applyNumberFormat="1" applyFont="1" applyFill="1" applyBorder="1" applyAlignment="1">
      <alignment horizontal="left" vertical="center"/>
    </xf>
    <xf numFmtId="166" fontId="6" fillId="2" borderId="0" xfId="1" applyNumberFormat="1" applyFont="1" applyFill="1" applyBorder="1" applyAlignment="1">
      <alignment horizontal="center" vertical="center"/>
    </xf>
    <xf numFmtId="168" fontId="6" fillId="2" borderId="0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166" fontId="0" fillId="0" borderId="0" xfId="0" applyNumberForma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0" xfId="3" applyAlignment="1">
      <alignment vertical="center"/>
    </xf>
    <xf numFmtId="167" fontId="5" fillId="0" borderId="1" xfId="2" applyNumberFormat="1" applyFont="1" applyFill="1" applyBorder="1" applyAlignment="1">
      <alignment horizontal="left" vertical="center" indent="1"/>
    </xf>
    <xf numFmtId="0" fontId="5" fillId="0" borderId="0" xfId="5" applyFont="1" applyAlignment="1">
      <alignment horizontal="left" vertical="center" wrapText="1"/>
    </xf>
    <xf numFmtId="0" fontId="0" fillId="0" borderId="0" xfId="4" applyFont="1" applyAlignment="1">
      <alignment vertical="center"/>
    </xf>
    <xf numFmtId="0" fontId="20" fillId="0" borderId="0" xfId="4" applyFont="1" applyAlignment="1">
      <alignment vertical="center"/>
    </xf>
    <xf numFmtId="0" fontId="23" fillId="0" borderId="0" xfId="0" applyFont="1" applyAlignment="1">
      <alignment vertical="center"/>
    </xf>
    <xf numFmtId="0" fontId="5" fillId="0" borderId="0" xfId="5" applyFont="1" applyAlignment="1">
      <alignment vertical="center" wrapText="1"/>
    </xf>
    <xf numFmtId="0" fontId="24" fillId="0" borderId="0" xfId="0" applyFont="1" applyAlignment="1">
      <alignment vertical="center"/>
    </xf>
    <xf numFmtId="166" fontId="5" fillId="2" borderId="0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5" fillId="0" borderId="0" xfId="5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0" borderId="0" xfId="4" applyFont="1" applyAlignment="1">
      <alignment horizontal="left" vertical="center"/>
    </xf>
    <xf numFmtId="0" fontId="12" fillId="0" borderId="0" xfId="4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7" fillId="0" borderId="0" xfId="3" applyAlignment="1">
      <alignment horizontal="left" vertical="center"/>
    </xf>
    <xf numFmtId="0" fontId="4" fillId="0" borderId="0" xfId="0" applyFont="1" applyAlignment="1">
      <alignment horizontal="left" vertical="center"/>
    </xf>
    <xf numFmtId="166" fontId="6" fillId="0" borderId="1" xfId="1" applyNumberFormat="1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29" fillId="0" borderId="0" xfId="3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7" fontId="5" fillId="2" borderId="1" xfId="2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22" applyFont="1" applyAlignment="1">
      <alignment vertical="center"/>
    </xf>
    <xf numFmtId="166" fontId="5" fillId="2" borderId="1" xfId="1" applyNumberFormat="1" applyFont="1" applyFill="1" applyBorder="1" applyAlignment="1">
      <alignment horizontal="left" vertical="center"/>
    </xf>
    <xf numFmtId="167" fontId="5" fillId="2" borderId="0" xfId="20" applyNumberFormat="1" applyFont="1" applyFill="1" applyBorder="1" applyAlignment="1">
      <alignment horizontal="left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left" vertical="center" indent="1"/>
    </xf>
    <xf numFmtId="0" fontId="35" fillId="0" borderId="0" xfId="0" applyFont="1" applyAlignment="1">
      <alignment horizontal="left" vertical="center"/>
    </xf>
    <xf numFmtId="167" fontId="5" fillId="2" borderId="1" xfId="2" applyNumberFormat="1" applyFont="1" applyFill="1" applyBorder="1" applyAlignment="1">
      <alignment horizontal="left" vertical="center" indent="1"/>
    </xf>
    <xf numFmtId="165" fontId="5" fillId="2" borderId="1" xfId="2" applyFont="1" applyFill="1" applyBorder="1" applyAlignment="1">
      <alignment horizontal="left" vertical="center"/>
    </xf>
    <xf numFmtId="165" fontId="6" fillId="4" borderId="1" xfId="2" applyFont="1" applyFill="1" applyBorder="1" applyAlignment="1">
      <alignment horizontal="left" vertical="center"/>
    </xf>
    <xf numFmtId="165" fontId="6" fillId="2" borderId="1" xfId="2" applyFont="1" applyFill="1" applyBorder="1" applyAlignment="1">
      <alignment horizontal="left" vertical="center"/>
    </xf>
    <xf numFmtId="165" fontId="6" fillId="0" borderId="1" xfId="2" applyFont="1" applyBorder="1" applyAlignment="1">
      <alignment horizontal="left" vertical="center"/>
    </xf>
    <xf numFmtId="0" fontId="35" fillId="0" borderId="0" xfId="0" applyFont="1" applyAlignment="1">
      <alignment vertical="center"/>
    </xf>
    <xf numFmtId="165" fontId="5" fillId="0" borderId="1" xfId="2" applyFont="1" applyBorder="1" applyAlignment="1">
      <alignment horizontal="left" vertical="center"/>
    </xf>
    <xf numFmtId="165" fontId="5" fillId="0" borderId="1" xfId="2" applyFont="1" applyFill="1" applyBorder="1" applyAlignment="1">
      <alignment horizontal="left" vertical="center" indent="1"/>
    </xf>
    <xf numFmtId="0" fontId="6" fillId="2" borderId="0" xfId="1" applyNumberFormat="1" applyFont="1" applyFill="1" applyBorder="1" applyAlignment="1">
      <alignment horizontal="center" vertical="center"/>
    </xf>
    <xf numFmtId="0" fontId="6" fillId="2" borderId="0" xfId="2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0" fontId="5" fillId="2" borderId="0" xfId="2" applyNumberFormat="1" applyFont="1" applyFill="1" applyBorder="1" applyAlignment="1">
      <alignment horizontal="center" vertical="center"/>
    </xf>
    <xf numFmtId="169" fontId="5" fillId="0" borderId="1" xfId="2" applyNumberFormat="1" applyFont="1" applyFill="1" applyBorder="1" applyAlignment="1">
      <alignment horizontal="center" vertical="center"/>
    </xf>
    <xf numFmtId="169" fontId="6" fillId="0" borderId="1" xfId="2" applyNumberFormat="1" applyFont="1" applyFill="1" applyBorder="1" applyAlignment="1">
      <alignment horizontal="center" vertical="center"/>
    </xf>
    <xf numFmtId="166" fontId="37" fillId="0" borderId="1" xfId="1" applyNumberFormat="1" applyFont="1" applyFill="1" applyBorder="1" applyAlignment="1">
      <alignment horizontal="center" vertical="center"/>
    </xf>
    <xf numFmtId="0" fontId="7" fillId="0" borderId="0" xfId="3" applyFill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1" fillId="0" borderId="0" xfId="4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66" fontId="6" fillId="0" borderId="0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6" fillId="0" borderId="0" xfId="2" applyNumberFormat="1" applyFont="1" applyFill="1" applyBorder="1" applyAlignment="1">
      <alignment horizontal="center" vertical="center"/>
    </xf>
    <xf numFmtId="164" fontId="5" fillId="0" borderId="0" xfId="23" applyFont="1" applyAlignment="1">
      <alignment horizontal="center" vertical="center"/>
    </xf>
    <xf numFmtId="0" fontId="6" fillId="0" borderId="0" xfId="2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67" fontId="5" fillId="2" borderId="0" xfId="2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40" fillId="0" borderId="0" xfId="3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37" fillId="2" borderId="1" xfId="1" applyNumberFormat="1" applyFont="1" applyFill="1" applyBorder="1" applyAlignment="1">
      <alignment horizontal="center" vertical="center"/>
    </xf>
    <xf numFmtId="168" fontId="6" fillId="0" borderId="0" xfId="2" applyNumberFormat="1" applyFont="1" applyFill="1" applyBorder="1" applyAlignment="1">
      <alignment horizontal="center" vertical="center"/>
    </xf>
    <xf numFmtId="169" fontId="6" fillId="0" borderId="0" xfId="2" applyNumberFormat="1" applyFont="1" applyFill="1" applyBorder="1" applyAlignment="1">
      <alignment horizontal="center" vertical="center"/>
    </xf>
    <xf numFmtId="168" fontId="5" fillId="0" borderId="0" xfId="2" applyNumberFormat="1" applyFont="1" applyFill="1" applyBorder="1" applyAlignment="1">
      <alignment horizontal="center" vertical="center"/>
    </xf>
    <xf numFmtId="169" fontId="5" fillId="0" borderId="0" xfId="2" applyNumberFormat="1" applyFont="1" applyFill="1" applyBorder="1" applyAlignment="1">
      <alignment horizontal="center" vertical="center"/>
    </xf>
    <xf numFmtId="165" fontId="6" fillId="0" borderId="0" xfId="2" applyFont="1" applyBorder="1" applyAlignment="1">
      <alignment horizontal="left" vertical="center"/>
    </xf>
    <xf numFmtId="166" fontId="6" fillId="0" borderId="0" xfId="1" applyNumberFormat="1" applyFont="1" applyBorder="1" applyAlignment="1">
      <alignment horizontal="center" vertical="center"/>
    </xf>
    <xf numFmtId="167" fontId="6" fillId="0" borderId="0" xfId="2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66" fontId="6" fillId="2" borderId="0" xfId="1" applyNumberFormat="1" applyFont="1" applyFill="1" applyBorder="1" applyAlignment="1">
      <alignment horizontal="left" vertical="center"/>
    </xf>
    <xf numFmtId="0" fontId="18" fillId="0" borderId="0" xfId="4" applyFont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3" applyFill="1" applyAlignment="1">
      <alignment vertical="center"/>
    </xf>
    <xf numFmtId="0" fontId="11" fillId="2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166" fontId="10" fillId="0" borderId="0" xfId="0" applyNumberFormat="1" applyFont="1" applyAlignment="1">
      <alignment horizontal="center" vertical="center"/>
    </xf>
    <xf numFmtId="0" fontId="20" fillId="0" borderId="0" xfId="22" applyFont="1" applyAlignment="1">
      <alignment vertical="center"/>
    </xf>
    <xf numFmtId="167" fontId="5" fillId="2" borderId="0" xfId="2" applyNumberFormat="1" applyFont="1" applyFill="1" applyBorder="1" applyAlignment="1">
      <alignment horizontal="left" vertical="center"/>
    </xf>
    <xf numFmtId="166" fontId="0" fillId="0" borderId="0" xfId="0" applyNumberFormat="1"/>
    <xf numFmtId="0" fontId="37" fillId="0" borderId="0" xfId="0" applyFont="1" applyAlignment="1">
      <alignment horizontal="left" vertical="center"/>
    </xf>
    <xf numFmtId="166" fontId="5" fillId="0" borderId="0" xfId="1" applyNumberFormat="1" applyFont="1" applyBorder="1" applyAlignment="1">
      <alignment horizontal="center" vertical="center"/>
    </xf>
    <xf numFmtId="165" fontId="5" fillId="0" borderId="0" xfId="2" applyFont="1" applyBorder="1" applyAlignment="1">
      <alignment horizontal="left" vertical="center"/>
    </xf>
    <xf numFmtId="166" fontId="0" fillId="0" borderId="0" xfId="1" applyNumberFormat="1" applyFont="1"/>
    <xf numFmtId="166" fontId="6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2" fontId="5" fillId="0" borderId="1" xfId="2" applyNumberFormat="1" applyFont="1" applyFill="1" applyBorder="1" applyAlignment="1">
      <alignment horizontal="center" vertical="center"/>
    </xf>
    <xf numFmtId="2" fontId="6" fillId="0" borderId="1" xfId="2" applyNumberFormat="1" applyFont="1" applyFill="1" applyBorder="1" applyAlignment="1">
      <alignment horizontal="center" vertical="center"/>
    </xf>
    <xf numFmtId="164" fontId="5" fillId="0" borderId="0" xfId="23" applyFont="1" applyBorder="1" applyAlignment="1">
      <alignment horizontal="center" vertical="center"/>
    </xf>
    <xf numFmtId="164" fontId="5" fillId="0" borderId="1" xfId="23" applyFont="1" applyFill="1" applyBorder="1" applyAlignment="1">
      <alignment horizontal="center" vertical="center"/>
    </xf>
    <xf numFmtId="164" fontId="6" fillId="0" borderId="1" xfId="23" applyFont="1" applyFill="1" applyBorder="1" applyAlignment="1">
      <alignment horizontal="center" vertical="center"/>
    </xf>
    <xf numFmtId="170" fontId="0" fillId="0" borderId="0" xfId="0" applyNumberFormat="1"/>
    <xf numFmtId="166" fontId="3" fillId="0" borderId="0" xfId="0" applyNumberFormat="1" applyFont="1" applyAlignment="1">
      <alignment vertical="center"/>
    </xf>
    <xf numFmtId="164" fontId="3" fillId="0" borderId="0" xfId="23" applyFont="1" applyAlignment="1">
      <alignment vertical="center"/>
    </xf>
    <xf numFmtId="171" fontId="3" fillId="0" borderId="0" xfId="23" applyNumberFormat="1" applyFont="1" applyAlignment="1">
      <alignment vertical="center"/>
    </xf>
    <xf numFmtId="169" fontId="0" fillId="0" borderId="0" xfId="23" applyNumberFormat="1" applyFont="1" applyAlignment="1">
      <alignment vertical="center"/>
    </xf>
    <xf numFmtId="0" fontId="36" fillId="0" borderId="0" xfId="0" applyFont="1" applyAlignment="1">
      <alignment vertical="center"/>
    </xf>
    <xf numFmtId="172" fontId="0" fillId="0" borderId="0" xfId="0" applyNumberFormat="1"/>
    <xf numFmtId="10" fontId="5" fillId="2" borderId="0" xfId="1" applyNumberFormat="1" applyFont="1" applyFill="1" applyBorder="1" applyAlignment="1">
      <alignment horizontal="center" vertical="center"/>
    </xf>
    <xf numFmtId="10" fontId="6" fillId="0" borderId="1" xfId="1" applyNumberFormat="1" applyFont="1" applyFill="1" applyBorder="1" applyAlignment="1">
      <alignment horizontal="center" vertical="center"/>
    </xf>
    <xf numFmtId="166" fontId="37" fillId="0" borderId="0" xfId="0" applyNumberFormat="1" applyFont="1" applyAlignment="1">
      <alignment horizontal="left" vertical="center"/>
    </xf>
    <xf numFmtId="173" fontId="3" fillId="0" borderId="0" xfId="23" applyNumberFormat="1" applyFont="1" applyAlignment="1">
      <alignment vertical="center"/>
    </xf>
    <xf numFmtId="10" fontId="0" fillId="0" borderId="0" xfId="0" applyNumberFormat="1"/>
    <xf numFmtId="167" fontId="5" fillId="2" borderId="1" xfId="28" applyNumberFormat="1" applyFont="1" applyFill="1" applyBorder="1" applyAlignment="1">
      <alignment horizontal="left" vertical="center"/>
    </xf>
    <xf numFmtId="166" fontId="5" fillId="2" borderId="1" xfId="21" applyNumberFormat="1" applyFont="1" applyFill="1" applyBorder="1" applyAlignment="1">
      <alignment horizontal="center" vertical="center"/>
    </xf>
    <xf numFmtId="169" fontId="5" fillId="0" borderId="1" xfId="28" applyNumberFormat="1" applyFont="1" applyFill="1" applyBorder="1" applyAlignment="1">
      <alignment horizontal="center" vertical="center"/>
    </xf>
  </cellXfs>
  <cellStyles count="31">
    <cellStyle name="Hipervínculo" xfId="3" builtinId="8"/>
    <cellStyle name="Millares" xfId="2" builtinId="3"/>
    <cellStyle name="Millares [0]" xfId="23" builtinId="6"/>
    <cellStyle name="Millares [0] 2" xfId="29" xr:uid="{00000000-0005-0000-0000-000003000000}"/>
    <cellStyle name="Millares 2" xfId="7" xr:uid="{00000000-0005-0000-0000-000004000000}"/>
    <cellStyle name="Millares 3" xfId="12" xr:uid="{00000000-0005-0000-0000-000005000000}"/>
    <cellStyle name="Millares 4" xfId="19" xr:uid="{00000000-0005-0000-0000-000006000000}"/>
    <cellStyle name="Millares 4 2" xfId="28" xr:uid="{00000000-0005-0000-0000-000007000000}"/>
    <cellStyle name="Millares 5" xfId="6" xr:uid="{00000000-0005-0000-0000-000008000000}"/>
    <cellStyle name="Millares 5 2" xfId="26" xr:uid="{00000000-0005-0000-0000-000009000000}"/>
    <cellStyle name="Millares 6" xfId="20" xr:uid="{00000000-0005-0000-0000-00000A000000}"/>
    <cellStyle name="Millares 7" xfId="24" xr:uid="{00000000-0005-0000-0000-00000B000000}"/>
    <cellStyle name="Millares 8" xfId="27" xr:uid="{00000000-0005-0000-0000-00000C000000}"/>
    <cellStyle name="Millares 9" xfId="30" xr:uid="{00000000-0005-0000-0000-00000D000000}"/>
    <cellStyle name="Normal" xfId="0" builtinId="0"/>
    <cellStyle name="Normal 2" xfId="4" xr:uid="{00000000-0005-0000-0000-00000F000000}"/>
    <cellStyle name="Normal 2 2" xfId="13" xr:uid="{00000000-0005-0000-0000-000010000000}"/>
    <cellStyle name="Normal 2 3" xfId="9" xr:uid="{00000000-0005-0000-0000-000011000000}"/>
    <cellStyle name="Normal 2 4" xfId="22" xr:uid="{00000000-0005-0000-0000-000012000000}"/>
    <cellStyle name="Normal 3" xfId="11" xr:uid="{00000000-0005-0000-0000-000013000000}"/>
    <cellStyle name="Normal 3 2" xfId="14" xr:uid="{00000000-0005-0000-0000-000014000000}"/>
    <cellStyle name="Normal 3 3" xfId="15" xr:uid="{00000000-0005-0000-0000-000015000000}"/>
    <cellStyle name="Normal 3 4" xfId="16" xr:uid="{00000000-0005-0000-0000-000016000000}"/>
    <cellStyle name="Normal 4" xfId="17" xr:uid="{00000000-0005-0000-0000-000017000000}"/>
    <cellStyle name="Normal 5" xfId="5" xr:uid="{00000000-0005-0000-0000-000018000000}"/>
    <cellStyle name="Normal 5 2" xfId="18" xr:uid="{00000000-0005-0000-0000-000019000000}"/>
    <cellStyle name="Normal 5 3" xfId="25" xr:uid="{00000000-0005-0000-0000-00001A000000}"/>
    <cellStyle name="Porcentaje" xfId="1" builtinId="5"/>
    <cellStyle name="Porcentaje 2" xfId="8" xr:uid="{00000000-0005-0000-0000-00001C000000}"/>
    <cellStyle name="Porcentaje 3" xfId="21" xr:uid="{00000000-0005-0000-0000-00001D000000}"/>
    <cellStyle name="Porcentual 2" xfId="10" xr:uid="{00000000-0005-0000-0000-00001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628649</xdr:colOff>
      <xdr:row>0</xdr:row>
      <xdr:rowOff>0</xdr:rowOff>
    </xdr:from>
    <xdr:to>
      <xdr:col>7</xdr:col>
      <xdr:colOff>101104</xdr:colOff>
      <xdr:row>1</xdr:row>
      <xdr:rowOff>198583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8474" y="0"/>
          <a:ext cx="996455" cy="6843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576526</xdr:colOff>
      <xdr:row>0</xdr:row>
      <xdr:rowOff>11906</xdr:rowOff>
    </xdr:from>
    <xdr:to>
      <xdr:col>20</xdr:col>
      <xdr:colOff>735575</xdr:colOff>
      <xdr:row>3</xdr:row>
      <xdr:rowOff>48564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21151" y="11906"/>
          <a:ext cx="1004392" cy="6795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638439</xdr:colOff>
      <xdr:row>0</xdr:row>
      <xdr:rowOff>0</xdr:rowOff>
    </xdr:from>
    <xdr:to>
      <xdr:col>21</xdr:col>
      <xdr:colOff>145819</xdr:colOff>
      <xdr:row>3</xdr:row>
      <xdr:rowOff>33483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9158" y="0"/>
          <a:ext cx="991163" cy="6764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726281</xdr:colOff>
      <xdr:row>0</xdr:row>
      <xdr:rowOff>0</xdr:rowOff>
    </xdr:from>
    <xdr:ext cx="989458" cy="679066"/>
    <xdr:pic>
      <xdr:nvPicPr>
        <xdr:cNvPr id="3" name="Imagen 2">
          <a:extLst>
            <a:ext uri="{FF2B5EF4-FFF2-40B4-BE49-F238E27FC236}">
              <a16:creationId xmlns:a16="http://schemas.microsoft.com/office/drawing/2014/main" id="{B095AE6C-BFFF-46D7-967E-F1A65C681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6625" y="0"/>
          <a:ext cx="989458" cy="67906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845344</xdr:colOff>
      <xdr:row>0</xdr:row>
      <xdr:rowOff>0</xdr:rowOff>
    </xdr:from>
    <xdr:ext cx="992221" cy="679066"/>
    <xdr:pic>
      <xdr:nvPicPr>
        <xdr:cNvPr id="3" name="Imagen 2">
          <a:extLst>
            <a:ext uri="{FF2B5EF4-FFF2-40B4-BE49-F238E27FC236}">
              <a16:creationId xmlns:a16="http://schemas.microsoft.com/office/drawing/2014/main" id="{99AD30DD-AB15-4FAE-B4E0-C4D6DE930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0" y="0"/>
          <a:ext cx="992221" cy="67906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833437</xdr:colOff>
      <xdr:row>0</xdr:row>
      <xdr:rowOff>0</xdr:rowOff>
    </xdr:from>
    <xdr:ext cx="993280" cy="679066"/>
    <xdr:pic>
      <xdr:nvPicPr>
        <xdr:cNvPr id="3" name="Imagen 2">
          <a:extLst>
            <a:ext uri="{FF2B5EF4-FFF2-40B4-BE49-F238E27FC236}">
              <a16:creationId xmlns:a16="http://schemas.microsoft.com/office/drawing/2014/main" id="{CCAEAE12-9653-45E6-BCB6-137CB6242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7531" y="0"/>
          <a:ext cx="993280" cy="67906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285750</xdr:colOff>
      <xdr:row>0</xdr:row>
      <xdr:rowOff>11906</xdr:rowOff>
    </xdr:from>
    <xdr:ext cx="993280" cy="679066"/>
    <xdr:pic>
      <xdr:nvPicPr>
        <xdr:cNvPr id="3" name="Imagen 2">
          <a:extLst>
            <a:ext uri="{FF2B5EF4-FFF2-40B4-BE49-F238E27FC236}">
              <a16:creationId xmlns:a16="http://schemas.microsoft.com/office/drawing/2014/main" id="{BC66B65B-51FA-43BD-A54E-1BB6442EF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5906" y="11906"/>
          <a:ext cx="993280" cy="679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C:\Users\rodrigo.rolando\AppData\Local\Microsoft\Windows\rodrigo.rolando\AppData\Local\Microsoft\juan.salamanca\rodrigo.rolando\AppData\Local\Microsoft\rodrigo.rolando\AppData\Local\Microsoft\Windows\INetCache\Content.Outlook\AppData\Local\Microsoft\Windows\Temporary%20Internet%20Files\Content.Outlook\AppData\Local\Microsoft\Windows\AppData\Local\Microsoft\Windows\rodrigo.rolando\AppData\Local\Microsoft\Windows\Temporary%20Internet%20Files\Content.Outlook\MFS3P0OK\Retenci&#243;n\retencion_1er_ao_sies_2017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showGridLines="0" tabSelected="1" zoomScale="80" zoomScaleNormal="80" workbookViewId="0">
      <pane ySplit="4" topLeftCell="A5" activePane="bottomLeft" state="frozen"/>
      <selection activeCell="C14" sqref="C14"/>
      <selection pane="bottomLeft" activeCell="B1" sqref="B1"/>
    </sheetView>
  </sheetViews>
  <sheetFormatPr baseColWidth="10" defaultRowHeight="12.75" x14ac:dyDescent="0.2"/>
  <cols>
    <col min="1" max="1" width="4" style="5" customWidth="1"/>
    <col min="2" max="3" width="7.42578125" style="6" customWidth="1"/>
    <col min="4" max="4" width="120.140625" style="5" customWidth="1"/>
    <col min="5" max="6" width="11.42578125" style="5"/>
    <col min="7" max="16384" width="11.42578125" style="3"/>
  </cols>
  <sheetData>
    <row r="1" spans="2:4" ht="38.25" x14ac:dyDescent="0.2">
      <c r="D1" s="123" t="s">
        <v>467</v>
      </c>
    </row>
    <row r="2" spans="2:4" ht="17.25" x14ac:dyDescent="0.2">
      <c r="D2" s="124" t="s">
        <v>392</v>
      </c>
    </row>
    <row r="3" spans="2:4" ht="15" x14ac:dyDescent="0.2">
      <c r="D3" s="128" t="s">
        <v>100</v>
      </c>
    </row>
    <row r="4" spans="2:4" ht="13.5" customHeight="1" x14ac:dyDescent="0.2"/>
    <row r="5" spans="2:4" ht="15.75" customHeight="1" x14ac:dyDescent="0.2">
      <c r="B5" s="9" t="s">
        <v>64</v>
      </c>
      <c r="C5" s="9" t="s">
        <v>65</v>
      </c>
      <c r="D5" s="13" t="s">
        <v>0</v>
      </c>
    </row>
    <row r="6" spans="2:4" ht="15.75" customHeight="1" x14ac:dyDescent="0.2">
      <c r="B6" s="10">
        <v>1</v>
      </c>
      <c r="C6" s="10">
        <v>1</v>
      </c>
      <c r="D6" s="32" t="s">
        <v>101</v>
      </c>
    </row>
    <row r="7" spans="2:4" ht="15.75" customHeight="1" x14ac:dyDescent="0.2">
      <c r="B7" s="10"/>
      <c r="C7" s="10"/>
      <c r="D7" s="125"/>
    </row>
    <row r="8" spans="2:4" ht="15.75" customHeight="1" x14ac:dyDescent="0.2">
      <c r="B8" s="9" t="s">
        <v>64</v>
      </c>
      <c r="C8" s="9" t="s">
        <v>65</v>
      </c>
      <c r="D8" s="11" t="s">
        <v>119</v>
      </c>
    </row>
    <row r="9" spans="2:4" ht="15.75" customHeight="1" x14ac:dyDescent="0.2">
      <c r="B9" s="10">
        <v>2</v>
      </c>
      <c r="C9" s="10">
        <v>1</v>
      </c>
      <c r="D9" s="92" t="s">
        <v>296</v>
      </c>
    </row>
    <row r="10" spans="2:4" ht="15.75" customHeight="1" x14ac:dyDescent="0.2">
      <c r="B10" s="10">
        <v>2</v>
      </c>
      <c r="C10" s="10">
        <v>2</v>
      </c>
      <c r="D10" s="126" t="s">
        <v>297</v>
      </c>
    </row>
    <row r="11" spans="2:4" ht="15.75" customHeight="1" x14ac:dyDescent="0.2">
      <c r="B11" s="10">
        <v>2</v>
      </c>
      <c r="C11" s="10">
        <v>3</v>
      </c>
      <c r="D11" s="92" t="s">
        <v>413</v>
      </c>
    </row>
    <row r="12" spans="2:4" ht="15.75" customHeight="1" x14ac:dyDescent="0.2">
      <c r="B12" s="10">
        <v>2</v>
      </c>
      <c r="C12" s="10">
        <v>4</v>
      </c>
      <c r="D12" s="92" t="s">
        <v>393</v>
      </c>
    </row>
    <row r="13" spans="2:4" ht="15.75" customHeight="1" x14ac:dyDescent="0.2">
      <c r="B13" s="10">
        <v>2</v>
      </c>
      <c r="C13" s="10">
        <v>5</v>
      </c>
      <c r="D13" s="92" t="s">
        <v>394</v>
      </c>
    </row>
    <row r="14" spans="2:4" ht="15.75" customHeight="1" x14ac:dyDescent="0.2">
      <c r="B14" s="10">
        <v>2</v>
      </c>
      <c r="C14" s="10">
        <v>6</v>
      </c>
      <c r="D14" s="92" t="s">
        <v>395</v>
      </c>
    </row>
    <row r="15" spans="2:4" ht="15.75" customHeight="1" x14ac:dyDescent="0.2">
      <c r="B15" s="10">
        <v>2</v>
      </c>
      <c r="C15" s="10">
        <v>7</v>
      </c>
      <c r="D15" s="92" t="s">
        <v>396</v>
      </c>
    </row>
    <row r="16" spans="2:4" ht="15.75" customHeight="1" x14ac:dyDescent="0.2">
      <c r="B16" s="10">
        <v>2</v>
      </c>
      <c r="C16" s="10">
        <v>8</v>
      </c>
      <c r="D16" s="92" t="s">
        <v>414</v>
      </c>
    </row>
    <row r="17" spans="2:4" ht="15.75" customHeight="1" x14ac:dyDescent="0.2">
      <c r="B17" s="10">
        <v>2</v>
      </c>
      <c r="C17" s="10">
        <v>9</v>
      </c>
      <c r="D17" s="92" t="s">
        <v>415</v>
      </c>
    </row>
    <row r="18" spans="2:4" ht="15.75" customHeight="1" x14ac:dyDescent="0.2">
      <c r="B18" s="10">
        <v>2</v>
      </c>
      <c r="C18" s="10">
        <v>10</v>
      </c>
      <c r="D18" s="92" t="s">
        <v>416</v>
      </c>
    </row>
    <row r="19" spans="2:4" ht="15.75" customHeight="1" x14ac:dyDescent="0.2">
      <c r="B19" s="10"/>
      <c r="C19" s="10"/>
      <c r="D19" s="125"/>
    </row>
    <row r="20" spans="2:4" ht="15.75" customHeight="1" x14ac:dyDescent="0.2">
      <c r="B20" s="9" t="s">
        <v>64</v>
      </c>
      <c r="C20" s="9" t="s">
        <v>65</v>
      </c>
      <c r="D20" s="11" t="s">
        <v>102</v>
      </c>
    </row>
    <row r="21" spans="2:4" ht="15.75" customHeight="1" x14ac:dyDescent="0.2">
      <c r="B21" s="10">
        <v>3</v>
      </c>
      <c r="C21" s="10">
        <v>1</v>
      </c>
      <c r="D21" s="29" t="s">
        <v>296</v>
      </c>
    </row>
    <row r="22" spans="2:4" ht="15.75" customHeight="1" x14ac:dyDescent="0.2">
      <c r="B22" s="10">
        <v>3</v>
      </c>
      <c r="C22" s="10">
        <v>2</v>
      </c>
      <c r="D22" s="29" t="s">
        <v>298</v>
      </c>
    </row>
    <row r="23" spans="2:4" ht="15.75" customHeight="1" x14ac:dyDescent="0.2">
      <c r="B23" s="10">
        <v>3</v>
      </c>
      <c r="C23" s="10">
        <v>3</v>
      </c>
      <c r="D23" s="29" t="s">
        <v>299</v>
      </c>
    </row>
    <row r="24" spans="2:4" ht="15.75" customHeight="1" x14ac:dyDescent="0.2">
      <c r="B24" s="10">
        <v>3</v>
      </c>
      <c r="C24" s="10">
        <v>4</v>
      </c>
      <c r="D24" s="29" t="s">
        <v>300</v>
      </c>
    </row>
    <row r="25" spans="2:4" ht="15.75" customHeight="1" x14ac:dyDescent="0.2">
      <c r="B25" s="10">
        <v>3</v>
      </c>
      <c r="C25" s="10">
        <v>5</v>
      </c>
      <c r="D25" s="29" t="s">
        <v>301</v>
      </c>
    </row>
    <row r="26" spans="2:4" ht="15.75" customHeight="1" x14ac:dyDescent="0.2">
      <c r="B26" s="10">
        <v>3</v>
      </c>
      <c r="C26" s="10">
        <v>6</v>
      </c>
      <c r="D26" s="29" t="s">
        <v>302</v>
      </c>
    </row>
    <row r="27" spans="2:4" ht="15.75" customHeight="1" x14ac:dyDescent="0.2">
      <c r="B27" s="10">
        <v>3</v>
      </c>
      <c r="C27" s="10">
        <v>7</v>
      </c>
      <c r="D27" s="29" t="s">
        <v>303</v>
      </c>
    </row>
    <row r="28" spans="2:4" ht="15.75" customHeight="1" x14ac:dyDescent="0.2">
      <c r="B28" s="10">
        <v>3</v>
      </c>
      <c r="C28" s="10">
        <v>8</v>
      </c>
      <c r="D28" s="29" t="s">
        <v>304</v>
      </c>
    </row>
    <row r="29" spans="2:4" ht="15.75" customHeight="1" x14ac:dyDescent="0.2">
      <c r="B29" s="10">
        <v>3</v>
      </c>
      <c r="C29" s="10">
        <v>9</v>
      </c>
      <c r="D29" s="29" t="s">
        <v>305</v>
      </c>
    </row>
    <row r="30" spans="2:4" ht="15.75" customHeight="1" x14ac:dyDescent="0.2">
      <c r="B30" s="10">
        <v>3</v>
      </c>
      <c r="C30" s="10">
        <v>10</v>
      </c>
      <c r="D30" s="29" t="s">
        <v>306</v>
      </c>
    </row>
    <row r="31" spans="2:4" ht="15.75" customHeight="1" x14ac:dyDescent="0.2">
      <c r="B31" s="10">
        <v>3</v>
      </c>
      <c r="C31" s="10">
        <v>11</v>
      </c>
      <c r="D31" s="29" t="s">
        <v>307</v>
      </c>
    </row>
    <row r="32" spans="2:4" ht="15.75" customHeight="1" x14ac:dyDescent="0.2">
      <c r="B32" s="10">
        <v>3</v>
      </c>
      <c r="C32" s="10">
        <v>12</v>
      </c>
      <c r="D32" s="29" t="s">
        <v>412</v>
      </c>
    </row>
    <row r="33" spans="2:4" ht="15.75" customHeight="1" x14ac:dyDescent="0.2">
      <c r="B33" s="10"/>
      <c r="C33" s="10"/>
      <c r="D33" s="64"/>
    </row>
    <row r="34" spans="2:4" ht="15.75" customHeight="1" x14ac:dyDescent="0.2">
      <c r="B34" s="10"/>
      <c r="C34" s="10"/>
      <c r="D34" s="64"/>
    </row>
    <row r="35" spans="2:4" ht="15.75" customHeight="1" x14ac:dyDescent="0.2">
      <c r="B35" s="9" t="s">
        <v>64</v>
      </c>
      <c r="C35" s="9" t="s">
        <v>65</v>
      </c>
      <c r="D35" s="11" t="s">
        <v>103</v>
      </c>
    </row>
    <row r="36" spans="2:4" ht="15.75" customHeight="1" x14ac:dyDescent="0.2">
      <c r="B36" s="10">
        <v>4</v>
      </c>
      <c r="C36" s="10">
        <v>1</v>
      </c>
      <c r="D36" s="29" t="s">
        <v>234</v>
      </c>
    </row>
    <row r="37" spans="2:4" ht="15.75" customHeight="1" x14ac:dyDescent="0.2">
      <c r="B37" s="10">
        <v>4</v>
      </c>
      <c r="C37" s="10">
        <v>2</v>
      </c>
      <c r="D37" s="29" t="s">
        <v>318</v>
      </c>
    </row>
    <row r="38" spans="2:4" ht="15.75" customHeight="1" x14ac:dyDescent="0.2">
      <c r="B38" s="10">
        <v>4</v>
      </c>
      <c r="C38" s="10">
        <v>3</v>
      </c>
      <c r="D38" s="29" t="s">
        <v>319</v>
      </c>
    </row>
    <row r="39" spans="2:4" ht="15.75" customHeight="1" x14ac:dyDescent="0.2">
      <c r="B39" s="10">
        <v>4</v>
      </c>
      <c r="C39" s="10">
        <v>4</v>
      </c>
      <c r="D39" s="29" t="s">
        <v>245</v>
      </c>
    </row>
    <row r="40" spans="2:4" ht="15.75" customHeight="1" x14ac:dyDescent="0.2">
      <c r="B40" s="10">
        <v>4</v>
      </c>
      <c r="C40" s="10">
        <v>5</v>
      </c>
      <c r="D40" s="29" t="s">
        <v>240</v>
      </c>
    </row>
    <row r="41" spans="2:4" ht="15.75" customHeight="1" x14ac:dyDescent="0.2">
      <c r="B41" s="10">
        <v>4</v>
      </c>
      <c r="C41" s="10">
        <v>6</v>
      </c>
      <c r="D41" s="29" t="s">
        <v>241</v>
      </c>
    </row>
    <row r="42" spans="2:4" ht="15.75" customHeight="1" x14ac:dyDescent="0.2">
      <c r="B42" s="10">
        <v>4</v>
      </c>
      <c r="C42" s="10">
        <v>7</v>
      </c>
      <c r="D42" s="29" t="s">
        <v>242</v>
      </c>
    </row>
    <row r="43" spans="2:4" ht="15.75" customHeight="1" x14ac:dyDescent="0.2">
      <c r="B43" s="10">
        <v>4</v>
      </c>
      <c r="C43" s="10">
        <v>8</v>
      </c>
      <c r="D43" s="29" t="s">
        <v>243</v>
      </c>
    </row>
    <row r="44" spans="2:4" ht="15.75" customHeight="1" x14ac:dyDescent="0.2">
      <c r="B44" s="10">
        <v>4</v>
      </c>
      <c r="C44" s="10">
        <v>9</v>
      </c>
      <c r="D44" s="29" t="s">
        <v>308</v>
      </c>
    </row>
    <row r="45" spans="2:4" ht="15.75" customHeight="1" x14ac:dyDescent="0.2">
      <c r="B45" s="10">
        <v>4</v>
      </c>
      <c r="C45" s="10">
        <v>10</v>
      </c>
      <c r="D45" s="29" t="s">
        <v>450</v>
      </c>
    </row>
    <row r="46" spans="2:4" ht="15.75" customHeight="1" x14ac:dyDescent="0.2">
      <c r="B46" s="5"/>
      <c r="C46" s="5"/>
    </row>
    <row r="47" spans="2:4" ht="15.75" customHeight="1" x14ac:dyDescent="0.2">
      <c r="B47" s="9" t="s">
        <v>64</v>
      </c>
      <c r="C47" s="9" t="s">
        <v>65</v>
      </c>
      <c r="D47" s="11" t="s">
        <v>340</v>
      </c>
    </row>
    <row r="48" spans="2:4" ht="15.75" customHeight="1" x14ac:dyDescent="0.2">
      <c r="B48" s="12">
        <v>5</v>
      </c>
      <c r="C48" s="12">
        <v>1</v>
      </c>
      <c r="D48" s="29" t="s">
        <v>417</v>
      </c>
    </row>
    <row r="49" spans="2:4" ht="15.75" customHeight="1" x14ac:dyDescent="0.2">
      <c r="B49" s="12">
        <v>5</v>
      </c>
      <c r="C49" s="12">
        <v>2</v>
      </c>
      <c r="D49" s="29" t="s">
        <v>418</v>
      </c>
    </row>
    <row r="50" spans="2:4" ht="15.75" customHeight="1" x14ac:dyDescent="0.2">
      <c r="B50" s="12">
        <v>5</v>
      </c>
      <c r="C50" s="12">
        <v>3</v>
      </c>
      <c r="D50" s="29" t="s">
        <v>419</v>
      </c>
    </row>
    <row r="51" spans="2:4" ht="15.75" customHeight="1" x14ac:dyDescent="0.2">
      <c r="B51" s="12">
        <v>5</v>
      </c>
      <c r="C51" s="12">
        <v>4</v>
      </c>
      <c r="D51" s="29" t="s">
        <v>420</v>
      </c>
    </row>
    <row r="52" spans="2:4" ht="15.75" customHeight="1" x14ac:dyDescent="0.2">
      <c r="B52" s="12">
        <v>5</v>
      </c>
      <c r="C52" s="12">
        <v>6</v>
      </c>
      <c r="D52" s="29" t="s">
        <v>421</v>
      </c>
    </row>
    <row r="53" spans="2:4" ht="15.75" customHeight="1" x14ac:dyDescent="0.2">
      <c r="B53" s="12">
        <v>5</v>
      </c>
      <c r="C53" s="12">
        <v>7</v>
      </c>
      <c r="D53" s="29" t="s">
        <v>422</v>
      </c>
    </row>
    <row r="54" spans="2:4" ht="15.75" customHeight="1" x14ac:dyDescent="0.2">
      <c r="B54" s="12">
        <v>5</v>
      </c>
      <c r="C54" s="12">
        <v>8</v>
      </c>
      <c r="D54" s="29" t="s">
        <v>423</v>
      </c>
    </row>
    <row r="55" spans="2:4" ht="15.75" customHeight="1" x14ac:dyDescent="0.2">
      <c r="B55" s="12">
        <v>5</v>
      </c>
      <c r="C55" s="12">
        <v>9</v>
      </c>
      <c r="D55" s="29" t="s">
        <v>424</v>
      </c>
    </row>
    <row r="56" spans="2:4" ht="15.75" customHeight="1" x14ac:dyDescent="0.2">
      <c r="B56" s="12">
        <v>5</v>
      </c>
      <c r="C56" s="12">
        <v>10</v>
      </c>
      <c r="D56" s="29" t="s">
        <v>425</v>
      </c>
    </row>
    <row r="57" spans="2:4" ht="15.75" customHeight="1" x14ac:dyDescent="0.2">
      <c r="B57" s="12">
        <v>5</v>
      </c>
      <c r="C57" s="12">
        <v>11</v>
      </c>
      <c r="D57" s="29" t="s">
        <v>426</v>
      </c>
    </row>
    <row r="58" spans="2:4" ht="15.75" customHeight="1" x14ac:dyDescent="0.2">
      <c r="B58" s="12">
        <v>5</v>
      </c>
      <c r="C58" s="12">
        <v>12</v>
      </c>
      <c r="D58" s="29" t="s">
        <v>427</v>
      </c>
    </row>
    <row r="59" spans="2:4" ht="15.75" customHeight="1" x14ac:dyDescent="0.2"/>
    <row r="60" spans="2:4" ht="15.75" customHeight="1" x14ac:dyDescent="0.2">
      <c r="B60" s="9" t="s">
        <v>64</v>
      </c>
      <c r="C60" s="9" t="s">
        <v>65</v>
      </c>
      <c r="D60" s="11" t="s">
        <v>104</v>
      </c>
    </row>
    <row r="61" spans="2:4" ht="15.75" customHeight="1" x14ac:dyDescent="0.2">
      <c r="B61" s="12">
        <v>6</v>
      </c>
      <c r="C61" s="12">
        <v>1</v>
      </c>
      <c r="D61" s="29" t="s">
        <v>235</v>
      </c>
    </row>
    <row r="62" spans="2:4" ht="15.75" customHeight="1" x14ac:dyDescent="0.2">
      <c r="B62" s="12">
        <v>6</v>
      </c>
      <c r="C62" s="12">
        <v>2</v>
      </c>
      <c r="D62" s="29" t="s">
        <v>244</v>
      </c>
    </row>
    <row r="63" spans="2:4" ht="15.75" customHeight="1" x14ac:dyDescent="0.2">
      <c r="B63" s="12">
        <v>6</v>
      </c>
      <c r="C63" s="12">
        <v>3</v>
      </c>
      <c r="D63" s="29" t="s">
        <v>428</v>
      </c>
    </row>
    <row r="64" spans="2:4" ht="15.75" customHeight="1" x14ac:dyDescent="0.2">
      <c r="B64" s="12">
        <v>6</v>
      </c>
      <c r="C64" s="12">
        <v>4</v>
      </c>
      <c r="D64" s="29" t="s">
        <v>429</v>
      </c>
    </row>
    <row r="65" spans="2:4" ht="15.75" customHeight="1" x14ac:dyDescent="0.2">
      <c r="B65" s="12">
        <v>6</v>
      </c>
      <c r="C65" s="12">
        <v>5</v>
      </c>
      <c r="D65" s="29" t="s">
        <v>430</v>
      </c>
    </row>
    <row r="66" spans="2:4" ht="15.75" customHeight="1" x14ac:dyDescent="0.2">
      <c r="B66" s="12">
        <v>6</v>
      </c>
      <c r="C66" s="12">
        <v>6</v>
      </c>
      <c r="D66" s="29" t="s">
        <v>431</v>
      </c>
    </row>
    <row r="67" spans="2:4" x14ac:dyDescent="0.2">
      <c r="D67" s="6"/>
    </row>
    <row r="68" spans="2:4" ht="18" x14ac:dyDescent="0.2">
      <c r="B68" s="9" t="s">
        <v>64</v>
      </c>
      <c r="C68" s="9" t="s">
        <v>65</v>
      </c>
      <c r="D68" s="11" t="s">
        <v>397</v>
      </c>
    </row>
    <row r="69" spans="2:4" ht="17.25" x14ac:dyDescent="0.2">
      <c r="B69" s="6">
        <v>7</v>
      </c>
      <c r="C69" s="6">
        <v>1</v>
      </c>
      <c r="D69" s="29" t="s">
        <v>320</v>
      </c>
    </row>
    <row r="70" spans="2:4" ht="17.25" x14ac:dyDescent="0.2">
      <c r="B70" s="6">
        <v>7</v>
      </c>
      <c r="C70" s="6">
        <v>2</v>
      </c>
      <c r="D70" s="29" t="s">
        <v>432</v>
      </c>
    </row>
    <row r="71" spans="2:4" ht="17.25" x14ac:dyDescent="0.2">
      <c r="B71" s="6">
        <v>7</v>
      </c>
      <c r="C71" s="6">
        <v>3</v>
      </c>
      <c r="D71" s="29" t="s">
        <v>433</v>
      </c>
    </row>
    <row r="72" spans="2:4" ht="17.25" x14ac:dyDescent="0.2">
      <c r="B72" s="6">
        <v>7</v>
      </c>
      <c r="C72" s="6">
        <v>4</v>
      </c>
      <c r="D72" s="29" t="s">
        <v>434</v>
      </c>
    </row>
    <row r="73" spans="2:4" ht="17.25" x14ac:dyDescent="0.2">
      <c r="B73" s="6">
        <v>7</v>
      </c>
      <c r="C73" s="6">
        <v>5</v>
      </c>
      <c r="D73" s="29" t="s">
        <v>435</v>
      </c>
    </row>
    <row r="74" spans="2:4" ht="17.25" x14ac:dyDescent="0.2">
      <c r="B74" s="6">
        <v>7</v>
      </c>
      <c r="C74" s="6">
        <v>6</v>
      </c>
      <c r="D74" s="29" t="s">
        <v>436</v>
      </c>
    </row>
    <row r="75" spans="2:4" ht="17.25" x14ac:dyDescent="0.2">
      <c r="B75" s="6">
        <v>7</v>
      </c>
      <c r="C75" s="6">
        <v>7</v>
      </c>
      <c r="D75" s="29" t="s">
        <v>437</v>
      </c>
    </row>
    <row r="76" spans="2:4" ht="15" x14ac:dyDescent="0.2">
      <c r="D76" s="24"/>
    </row>
    <row r="78" spans="2:4" ht="15" x14ac:dyDescent="0.2">
      <c r="D78" s="127" t="s">
        <v>66</v>
      </c>
    </row>
  </sheetData>
  <sortState xmlns:xlrd2="http://schemas.microsoft.com/office/spreadsheetml/2017/richdata2" ref="E40:F50">
    <sortCondition ref="E40:E50"/>
  </sortState>
  <hyperlinks>
    <hyperlink ref="D21:D30" location="'Retención 1er año General'!A1" display="Evolución de retención de 1er año de carreras de pregrado por tipo de institución" xr:uid="{00000000-0004-0000-0000-000000000000}"/>
    <hyperlink ref="D31:D32" location="'Retención 1er año General'!A1" display="Evolución de retención de 1er año de carreras de pregrado por acreditación institucional" xr:uid="{00000000-0004-0000-0000-000001000000}"/>
    <hyperlink ref="D36:D44" location="'Retención 1er año Carreras '!A1" display="Evolución de retención de 1er año de carreras de pregrado por 20 carreras genéricas con mayor matrícula 1er año - CFT" xr:uid="{00000000-0004-0000-0000-000002000000}"/>
    <hyperlink ref="D21:D32" location="'Retención 1er año General'!A1" display="Evolución de retención de 1er año de carreras de pregrado por tipo de institución" xr:uid="{00000000-0004-0000-0000-000003000000}"/>
    <hyperlink ref="D48:D55" location="'Retención 1er año Sexo'!A1" display="Evolución de retención de 1er año de carreras de pregrado por sexo" xr:uid="{00000000-0004-0000-0000-000004000000}"/>
    <hyperlink ref="D56:D57" location="'Retención 1er año Sexo'!A1" display="Evolución de retención de 1er año de carreras genéricas por sexo - Universidades" xr:uid="{00000000-0004-0000-0000-000005000000}"/>
    <hyperlink ref="D61:D66" location="'Retención 1er año Origen Sec.'!A1" display="Evolución de retención de 1er año de carreras de pregrado por tipo de dependencia del establecimiento secundario de origen " xr:uid="{00000000-0004-0000-0000-000006000000}"/>
    <hyperlink ref="D21" location="'Retención 1er año general'!A5" display="Evolución Retención de 1er año de carreras de pregrado por tipo de institución" xr:uid="{00000000-0004-0000-0000-000007000000}"/>
    <hyperlink ref="D22" location="'Retención 1er año general'!A12" display="Evolución Retención de 1er año de carreras de pregrado por tipo de institución " xr:uid="{00000000-0004-0000-0000-000008000000}"/>
    <hyperlink ref="D23" location="'Retención 1er año general'!A22" display="Evolución Retención de 1er año de carreras de pregrado por tipo de carrera " xr:uid="{00000000-0004-0000-0000-000009000000}"/>
    <hyperlink ref="D24" location="'Retención 1er año general'!A31" display="Evolución Retención de 1er año de carreras de pregrado por tipo de institución y carrera " xr:uid="{00000000-0004-0000-0000-00000A000000}"/>
    <hyperlink ref="D25" location="'Retención 1er año general'!A46" display="Evolución Retención de 1er año de carreras de pregrado por área del conocimiento" xr:uid="{00000000-0004-0000-0000-00000B000000}"/>
    <hyperlink ref="D26" location="'Retención 1er año general'!A60" display="Evolución Retención de 1er año de carreras de pregrado por tipo de carrera y área del conocimiento" xr:uid="{00000000-0004-0000-0000-00000C000000}"/>
    <hyperlink ref="D27" location="'Retención 1er año general'!A87" display="Evolución Retención de 1er año de carreras de pregrado por jornada" xr:uid="{00000000-0004-0000-0000-00000D000000}"/>
    <hyperlink ref="D28" location="'Retención 1er año general'!A96" display="Evolución Retención de 1er año de carreras de pregrado por tipo de carrera y jornada " xr:uid="{00000000-0004-0000-0000-00000E000000}"/>
    <hyperlink ref="D29" location="'Retención 1er año general'!A113" display="Evolución Retención de 1er año de carreras de pregrado por región" xr:uid="{00000000-0004-0000-0000-00000F000000}"/>
    <hyperlink ref="D30" location="'Retención 1er año general'!A133" display="Evolución Retención de 1er año de carreras de pregrado por tipo de carrera y región" xr:uid="{00000000-0004-0000-0000-000010000000}"/>
    <hyperlink ref="D31" location="'Retención 1er año general'!A172" display="Evolución Retención de 1er año de carreras de pregrado por acreditación institucional" xr:uid="{00000000-0004-0000-0000-000011000000}"/>
    <hyperlink ref="D32" location="'Retención 1er año general'!A179" display="Evolución Retención de 1er año de carreras de pregrado por tipo de institución y acreditación" xr:uid="{00000000-0004-0000-0000-000012000000}"/>
    <hyperlink ref="D36" location="'Retención 1er año Carreras '!A5" display="Evolución de retención de 1er año de carreras de pregrado por 20 carreras genéricas con mayor matrícula 1er año - CFT" xr:uid="{00000000-0004-0000-0000-000013000000}"/>
    <hyperlink ref="D37" location="'Retención 1er año Carreras '!A29" display="Evolución Retención de 1er año de carreras de pregrado en 20 carreras genéricas con mayor matrícula 1er año - IP" xr:uid="{00000000-0004-0000-0000-000014000000}"/>
    <hyperlink ref="D38" location="'Retención 1er año Carreras '!A53" display="Evolución Retención de 1er año de carreras de pregrado en 30 carreras genéricas  con mayor matrícula 1er año - Universidades" xr:uid="{00000000-0004-0000-0000-000015000000}"/>
    <hyperlink ref="D39" location="'Retención 1er año Carreras '!A87" display="Evolución Retención de 1er año de 10 carreras genéricas con Mayor retención - CFT" xr:uid="{00000000-0004-0000-0000-000016000000}"/>
    <hyperlink ref="D40" location="'Retención 1er año Carreras '!A101" display="Evolución Retención de 1er año de 10 carreras genéricas con Menor retención - CFT" xr:uid="{00000000-0004-0000-0000-000017000000}"/>
    <hyperlink ref="D41" location="'Retención 1er año Carreras '!A115" display="Evolución Retención de 1er año de 10 carreras genéricas con Mayor retención - IP" xr:uid="{00000000-0004-0000-0000-000018000000}"/>
    <hyperlink ref="D42" location="'Retención 1er año Carreras '!A129" display="Evolución Retención de 1er año de 10 carreras genéricas con Menor retención - IP" xr:uid="{00000000-0004-0000-0000-000019000000}"/>
    <hyperlink ref="D43" location="'Retención 1er año Carreras '!A143" display="Evolución Retención de 1er año de 10 carreras genéricas con Mayor retención - Universidad" xr:uid="{00000000-0004-0000-0000-00001A000000}"/>
    <hyperlink ref="D44" location="'Retención 1er año Carreras '!A157" display="Evolución Retención de 1er año de 10 carreras genéricas con Menor retención - Universidad" xr:uid="{00000000-0004-0000-0000-00001B000000}"/>
    <hyperlink ref="D48" location="'Retención 1er año Sexo'!A5" display="Evolución de retención de 1er año de carreras de pregrado por sexo" xr:uid="{00000000-0004-0000-0000-00001C000000}"/>
    <hyperlink ref="D49" location="'Retención 1er año Sexo'!A11" display="Evolución de retención de 1er año de carreras de pregrado por sexo y tipo de institución" xr:uid="{00000000-0004-0000-0000-00001D000000}"/>
    <hyperlink ref="D50" location="'Retención 1er año Sexo'!A23" display="Evolución Retención de 1er año de carreras de pregrado por sexo y tipo de institución 2 " xr:uid="{00000000-0004-0000-0000-00001E000000}"/>
    <hyperlink ref="D51" location="'Retención 1er año Sexo'!A41" display="Evolución Retención de 1er año de carreras de pregrado por sexo y tipo de carrera" xr:uid="{00000000-0004-0000-0000-00001F000000}"/>
    <hyperlink ref="D52" location="'Retención 1er año Sexo'!A57" display="Evolución Retención de 1er año de carreras de pregrado por sexo - CFT" xr:uid="{00000000-0004-0000-0000-000020000000}"/>
    <hyperlink ref="D53" location="'Retención 1er año Sexo'!A63" display="Evolución Retención de 1er año de carreras de pregrado por sexo - IP" xr:uid="{00000000-0004-0000-0000-000021000000}"/>
    <hyperlink ref="D54" location="'Retención 1er año Sexo'!A73" display="Evolución Retención de 1er año de carreras de pregrado por sexo - Universidades" xr:uid="{00000000-0004-0000-0000-000022000000}"/>
    <hyperlink ref="D55" location="'Retención 1er año Sexo'!A89" display="Evolución Retención de 1er año de carreras de pregrado por sexo y área de conocimiento" xr:uid="{00000000-0004-0000-0000-000023000000}"/>
    <hyperlink ref="D56" location="'Retención 1er año Sexo'!A115" display="Evolución Retención de 1er año de carreras genéricas por sexo - CFT" xr:uid="{00000000-0004-0000-0000-000024000000}"/>
    <hyperlink ref="D57" location="'Retención 1er año Sexo'!A149" display="Evolución Retención de 1er año de carreras genéricas por sexo - IP" xr:uid="{00000000-0004-0000-0000-000025000000}"/>
    <hyperlink ref="D58" location="'Retención 1er año Sexo'!A183" display="Evolución Retención de 1er año de carreras genéricas por sexo - Universidades" xr:uid="{00000000-0004-0000-0000-000026000000}"/>
    <hyperlink ref="D66" location="'Retención 1er año Origen Sec.'!A88" display="Evolución Retención de 1er año de carreras de pregrado por tipo de enseñanza y carrera " xr:uid="{00000000-0004-0000-0000-000027000000}"/>
    <hyperlink ref="D65" location="'Retención 1er año Origen Sec.'!A72" display="Evolución Retención de 1er año de carreras de pregrado por tipo de enseñanza y de institución" xr:uid="{00000000-0004-0000-0000-000028000000}"/>
    <hyperlink ref="D64" location="'Retención 1er año Origen Sec.'!A65" display="Evolución Retención de 1er año de carreras de pregrado por tipo de enseñanza del establecimiento secundario de origen " xr:uid="{00000000-0004-0000-0000-000029000000}"/>
    <hyperlink ref="D63" location="'Retención 1er año Origen Sec.'!A43" display="Evolución Retención de 1er año de carreras de pregrado por tipo de dependencia y tipo de carrera " xr:uid="{00000000-0004-0000-0000-00002A000000}"/>
    <hyperlink ref="D62" location="'Retención 1er año Origen Sec.'!A15" display="Evolución Retención de 1er año de carreras de pregrado por tipo de dependencia y tipo de institución" xr:uid="{00000000-0004-0000-0000-00002B000000}"/>
    <hyperlink ref="D61" location="'Retención 1er año Origen Sec.'!A5" display="Evolución de retención de 1er año de carreras de pregrado por tipo de dependencia del establecimiento secundario de origen " xr:uid="{00000000-0004-0000-0000-00002C000000}"/>
    <hyperlink ref="D9:D18" r:id="rId1" display="Evolución Retención de 1er año de carreras de pregrado por tipo de institución" xr:uid="{00000000-0004-0000-0000-00002D000000}"/>
    <hyperlink ref="D11" location="'Comparación Tasas'!A19" display="Evolución Tasa de Persistencia de 1er año en ES de carreras de pregrado por tipo de institución" xr:uid="{00000000-0004-0000-0000-00002E000000}"/>
    <hyperlink ref="D16" location="'Comparación Tasas'!A54" display="Tasas de Retención, Persistencia en la misma institución y Persistencia en Educación Superior, para 1er año, de carreras de Pregrado por tipo de institución (cohorte 2023)" xr:uid="{00000000-0004-0000-0000-00002F000000}"/>
    <hyperlink ref="D17" location="'Comparación Tasas'!A61" display="Tasas de Retención, Persistencia en la misma institución y Persistencia en ES, para 1er año,  de carreras de pregrado por presencia o no de beneficios" xr:uid="{00000000-0004-0000-0000-000030000000}"/>
    <hyperlink ref="D18" location="'Comparación Tasas'!A67" display="Tasas de Retención, Persistencia en la misma institución y Persistencia en ES, para 1er año,  de carreras de pregrado por presencia o no de beneficios y tipo de institución" xr:uid="{00000000-0004-0000-0000-000031000000}"/>
    <hyperlink ref="D69:D75" location="'Retención 1er año x IES'!A1" display="Evolución de retención de 1er año - CFT" xr:uid="{00000000-0004-0000-0000-000032000000}"/>
    <hyperlink ref="D69" location="'Retención 1er año x IES'!A6" display="Evolución de retención de 1er año - CFT" xr:uid="{00000000-0004-0000-0000-000033000000}"/>
    <hyperlink ref="D70" location="'Retención 1er año x IES'!A43" display="Evolución de Retención de 1er año - IP" xr:uid="{00000000-0004-0000-0000-000034000000}"/>
    <hyperlink ref="D71" location="'Retención 1er año x IES'!A73" display="Evolución de Retención de 1er año - Universidades" xr:uid="{00000000-0004-0000-0000-000035000000}"/>
    <hyperlink ref="D72" location="'Retención 1er año x IES'!A128" display="Evolución de Retención de 1er año de carreras técnicas - IP" xr:uid="{00000000-0004-0000-0000-000036000000}"/>
    <hyperlink ref="D73" location="'Retención 1er año x IES'!A152" display="Evolución de Retención de 1er año de carreras profesionales - IP" xr:uid="{00000000-0004-0000-0000-000037000000}"/>
    <hyperlink ref="D74" location="'Retención 1er año x IES'!A182" display="Evolución de Retención de 1er año de carreras técnicas - Universidades" xr:uid="{00000000-0004-0000-0000-000038000000}"/>
    <hyperlink ref="D75" location="'Retención 1er año x IES'!A204" display="Evolución de Retención de 1er año de carreras profesionales - Universidades" xr:uid="{00000000-0004-0000-0000-000039000000}"/>
    <hyperlink ref="D10" location="'Comparación Tasas'!A12" display="Evolución Tasa de Persistencia de 1er año en la misma institución de carreras de pregrado por tipo de institución" xr:uid="{00000000-0004-0000-0000-00003A000000}"/>
    <hyperlink ref="D9" location="'Comparación Tasas'!A5" display="Evolución Retención de 1er año de carreras de pregrado por tipo de institución" xr:uid="{00000000-0004-0000-0000-00003B000000}"/>
    <hyperlink ref="D12" location="'Comparación Tasas'!A26" display="Evolución Situación de Retención, Persistencia y No Matrícula en carreras de Pregrado (cohortes 2007 - 2023)" xr:uid="{3A909BE4-4752-473C-8642-D34D95D97CBF}"/>
    <hyperlink ref="D13" location="'Comparación Tasas'!A33" display="Evolución Situación de Retención, Persistencia y No Matrícula en carreras de Pregrado (cohortes 2007 - 2023) - CFT" xr:uid="{BDBD25AC-E8D5-4187-B2F9-F08F54FB36C4}"/>
    <hyperlink ref="D14" location="'Comparación Tasas'!A40" display="Evolución Situación de Retención, Persistencia y No Matrícula en carreras de Pregrado (cohortes 2007 - 2023) - IP" xr:uid="{82A94D88-5E98-409D-82BE-1839426B51E3}"/>
    <hyperlink ref="D15" location="'Comparación Tasas'!A47" display="Evolución Situación de Retención, Persistencia y No Matrícula en carreras de Pregrado (cohortes 2007 - 2023) - Universidades" xr:uid="{88897165-6A79-446C-9EEA-F8894666DCE4}"/>
    <hyperlink ref="D45" location="'Retención 1er año Carreras '!A171" display="Evolución Retención de 1er año de Pedagogías - Universidad" xr:uid="{D2245898-31B7-47D3-BCF4-589C8629E570}"/>
  </hyperlinks>
  <pageMargins left="0.7" right="0.7" top="0.75" bottom="0.75" header="0.3" footer="0.3"/>
  <pageSetup orientation="portrait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A1:W115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30.42578125" customWidth="1"/>
    <col min="2" max="2" width="10.5703125" customWidth="1"/>
    <col min="3" max="4" width="11.28515625" bestFit="1" customWidth="1"/>
    <col min="5" max="17" width="10.5703125" customWidth="1"/>
    <col min="18" max="19" width="11.7109375" style="74" customWidth="1"/>
    <col min="20" max="21" width="12.7109375" style="74" customWidth="1"/>
    <col min="22" max="22" width="12.7109375" customWidth="1"/>
  </cols>
  <sheetData>
    <row r="1" spans="1:23" ht="21" x14ac:dyDescent="0.25">
      <c r="A1" s="51" t="s">
        <v>248</v>
      </c>
      <c r="B1" s="51"/>
      <c r="C1" s="42"/>
      <c r="D1" s="42"/>
      <c r="E1" s="42"/>
      <c r="F1" s="42"/>
      <c r="G1" s="42"/>
      <c r="H1" s="10"/>
      <c r="I1" s="10"/>
      <c r="J1" s="10"/>
      <c r="K1" s="10"/>
      <c r="L1" s="10"/>
      <c r="M1" s="12"/>
      <c r="N1" s="12"/>
      <c r="O1" s="12"/>
      <c r="P1" s="12"/>
      <c r="Q1" s="12"/>
      <c r="R1" s="12"/>
      <c r="S1" s="12"/>
      <c r="T1" s="12"/>
      <c r="U1" s="12"/>
    </row>
    <row r="2" spans="1:23" s="96" customFormat="1" x14ac:dyDescent="0.25">
      <c r="A2" s="93"/>
      <c r="B2" s="93"/>
      <c r="C2" s="9"/>
      <c r="D2" s="9"/>
      <c r="E2" s="9"/>
      <c r="F2" s="9"/>
      <c r="G2" s="9"/>
      <c r="H2" s="94"/>
      <c r="I2" s="94"/>
      <c r="J2" s="94"/>
      <c r="K2" s="94"/>
      <c r="L2" s="94"/>
      <c r="M2" s="95"/>
      <c r="N2" s="95"/>
      <c r="O2" s="95"/>
      <c r="P2" s="95"/>
      <c r="Q2" s="95"/>
      <c r="R2" s="95"/>
      <c r="S2" s="95"/>
      <c r="T2" s="95"/>
      <c r="U2" s="95"/>
    </row>
    <row r="3" spans="1:23" s="96" customFormat="1" x14ac:dyDescent="0.25">
      <c r="A3" s="54" t="s">
        <v>111</v>
      </c>
      <c r="B3" s="97"/>
      <c r="C3" s="95"/>
      <c r="D3" s="95"/>
      <c r="E3" s="95"/>
      <c r="F3" s="95"/>
      <c r="G3" s="95"/>
      <c r="H3" s="94"/>
      <c r="I3" s="94"/>
      <c r="J3" s="94"/>
      <c r="K3" s="94"/>
      <c r="L3" s="94"/>
      <c r="M3" s="95"/>
      <c r="N3" s="95"/>
      <c r="O3" s="95"/>
      <c r="P3" s="95"/>
      <c r="Q3" s="95"/>
      <c r="R3" s="95"/>
      <c r="S3" s="95"/>
      <c r="T3" s="95"/>
      <c r="U3" s="95"/>
    </row>
    <row r="4" spans="1:23" x14ac:dyDescent="0.25">
      <c r="A4" s="53"/>
      <c r="B4" s="53"/>
      <c r="C4" s="12"/>
      <c r="D4" s="12"/>
      <c r="E4" s="12"/>
      <c r="F4" s="12"/>
      <c r="G4" s="12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12"/>
    </row>
    <row r="5" spans="1:23" ht="18" x14ac:dyDescent="0.25">
      <c r="A5" s="55" t="s">
        <v>438</v>
      </c>
      <c r="B5" s="55"/>
      <c r="C5" s="45"/>
      <c r="D5" s="45"/>
      <c r="E5" s="45"/>
      <c r="F5" s="45"/>
      <c r="G5" s="45"/>
      <c r="H5" s="6"/>
      <c r="I5" s="6"/>
      <c r="J5" s="6"/>
      <c r="K5" s="6"/>
      <c r="L5" s="6"/>
      <c r="M5" s="6"/>
      <c r="N5" s="6"/>
      <c r="O5" s="6"/>
      <c r="P5" s="6"/>
      <c r="Q5" s="6"/>
      <c r="R5" s="44"/>
      <c r="S5" s="44"/>
      <c r="T5" s="44"/>
      <c r="U5" s="12"/>
    </row>
    <row r="6" spans="1:23" ht="45" customHeight="1" x14ac:dyDescent="0.25">
      <c r="A6" s="14" t="s">
        <v>83</v>
      </c>
      <c r="B6" s="38">
        <v>2007</v>
      </c>
      <c r="C6" s="38">
        <v>2008</v>
      </c>
      <c r="D6" s="38">
        <v>2009</v>
      </c>
      <c r="E6" s="38">
        <v>2010</v>
      </c>
      <c r="F6" s="38">
        <v>2011</v>
      </c>
      <c r="G6" s="38">
        <v>2012</v>
      </c>
      <c r="H6" s="38">
        <v>2013</v>
      </c>
      <c r="I6" s="38">
        <v>2014</v>
      </c>
      <c r="J6" s="38">
        <v>2015</v>
      </c>
      <c r="K6" s="38">
        <v>2016</v>
      </c>
      <c r="L6" s="38">
        <v>2017</v>
      </c>
      <c r="M6" s="38">
        <v>2018</v>
      </c>
      <c r="N6" s="38">
        <v>2019</v>
      </c>
      <c r="O6" s="38">
        <v>2020</v>
      </c>
      <c r="P6" s="38">
        <v>2021</v>
      </c>
      <c r="Q6" s="38">
        <v>2022</v>
      </c>
      <c r="R6" s="38">
        <v>2023</v>
      </c>
      <c r="S6" s="38">
        <v>2024</v>
      </c>
      <c r="T6" s="39" t="s">
        <v>373</v>
      </c>
      <c r="U6" s="39" t="s">
        <v>374</v>
      </c>
      <c r="V6" s="39" t="s">
        <v>375</v>
      </c>
    </row>
    <row r="7" spans="1:23" x14ac:dyDescent="0.25">
      <c r="A7" s="15" t="s">
        <v>2</v>
      </c>
      <c r="B7" s="16">
        <v>0.57338243029984215</v>
      </c>
      <c r="C7" s="16">
        <v>0.62568364382156894</v>
      </c>
      <c r="D7" s="16">
        <v>0.67077541577380384</v>
      </c>
      <c r="E7" s="16">
        <v>0.63962304846282747</v>
      </c>
      <c r="F7" s="16">
        <v>0.61599207110429055</v>
      </c>
      <c r="G7" s="16">
        <v>0.63396955387511145</v>
      </c>
      <c r="H7" s="16">
        <v>0.6391307070833594</v>
      </c>
      <c r="I7" s="16">
        <v>0.63193502650721245</v>
      </c>
      <c r="J7" s="16">
        <v>0.65588555683711391</v>
      </c>
      <c r="K7" s="16">
        <v>0.66687276724374833</v>
      </c>
      <c r="L7" s="16">
        <v>0.68720600442722746</v>
      </c>
      <c r="M7" s="16">
        <v>0.7043048938934604</v>
      </c>
      <c r="N7" s="41">
        <v>0.6776652749370341</v>
      </c>
      <c r="O7" s="41">
        <v>0.66138092343960075</v>
      </c>
      <c r="P7" s="41">
        <v>0.68902109248242294</v>
      </c>
      <c r="Q7" s="41">
        <v>0.71704403898292668</v>
      </c>
      <c r="R7" s="41">
        <v>0.70959094687908242</v>
      </c>
      <c r="S7" s="41">
        <v>0.70921942692103068</v>
      </c>
      <c r="T7" s="89">
        <f>(S7-J7)*100</f>
        <v>5.3333870083916768</v>
      </c>
      <c r="U7" s="89">
        <f>(S7-O7)*100</f>
        <v>4.7838503481429928</v>
      </c>
      <c r="V7" s="89">
        <f>(S7-R7)*100</f>
        <v>-3.7151995805173588E-2</v>
      </c>
      <c r="W7" s="150"/>
    </row>
    <row r="8" spans="1:23" x14ac:dyDescent="0.25">
      <c r="A8" s="15" t="s">
        <v>3</v>
      </c>
      <c r="B8" s="16">
        <v>0.57332552235891432</v>
      </c>
      <c r="C8" s="16">
        <v>0.62948123785319177</v>
      </c>
      <c r="D8" s="16">
        <v>0.64158851038818332</v>
      </c>
      <c r="E8" s="16">
        <v>0.64470485160442448</v>
      </c>
      <c r="F8" s="16">
        <v>0.64074570894243665</v>
      </c>
      <c r="G8" s="16">
        <v>0.64525364092239779</v>
      </c>
      <c r="H8" s="16">
        <v>0.66088429885428435</v>
      </c>
      <c r="I8" s="16">
        <v>0.67389038720096739</v>
      </c>
      <c r="J8" s="16">
        <v>0.67539280011252412</v>
      </c>
      <c r="K8" s="16">
        <v>0.68481568314461017</v>
      </c>
      <c r="L8" s="16">
        <v>0.70821039955270737</v>
      </c>
      <c r="M8" s="16">
        <v>0.72223829541006479</v>
      </c>
      <c r="N8" s="41">
        <v>0.6931495299523629</v>
      </c>
      <c r="O8" s="41">
        <v>0.6879956504621384</v>
      </c>
      <c r="P8" s="41">
        <v>0.70536467751657628</v>
      </c>
      <c r="Q8" s="41">
        <v>0.72033145190344661</v>
      </c>
      <c r="R8" s="41">
        <v>0.721774009407395</v>
      </c>
      <c r="S8" s="41">
        <v>0.7275282683267692</v>
      </c>
      <c r="T8" s="89">
        <f t="shared" ref="T8:T10" si="0">(S8-J8)*100</f>
        <v>5.213546821424508</v>
      </c>
      <c r="U8" s="89">
        <f t="shared" ref="U8:U10" si="1">(S8-O8)*100</f>
        <v>3.9532617864630804</v>
      </c>
      <c r="V8" s="89">
        <f t="shared" ref="V8:V10" si="2">(S8-R8)*100</f>
        <v>0.57542589193742</v>
      </c>
    </row>
    <row r="9" spans="1:23" x14ac:dyDescent="0.25">
      <c r="A9" s="15" t="s">
        <v>4</v>
      </c>
      <c r="B9" s="16">
        <v>0.74646289375333685</v>
      </c>
      <c r="C9" s="16">
        <v>0.74963747863351726</v>
      </c>
      <c r="D9" s="16">
        <v>0.76462797157280493</v>
      </c>
      <c r="E9" s="16">
        <v>0.78328907697839734</v>
      </c>
      <c r="F9" s="16">
        <v>0.74490335064810309</v>
      </c>
      <c r="G9" s="16">
        <v>0.74557350235125741</v>
      </c>
      <c r="H9" s="16">
        <v>0.74931480655236149</v>
      </c>
      <c r="I9" s="16">
        <v>0.76204896201977457</v>
      </c>
      <c r="J9" s="16">
        <v>0.76845323923455378</v>
      </c>
      <c r="K9" s="16">
        <v>0.77914238569668104</v>
      </c>
      <c r="L9" s="16">
        <v>0.78736286666147959</v>
      </c>
      <c r="M9" s="16">
        <v>0.78895438417935349</v>
      </c>
      <c r="N9" s="41">
        <v>0.79652944646685564</v>
      </c>
      <c r="O9" s="41">
        <v>0.85034322128356299</v>
      </c>
      <c r="P9" s="41">
        <v>0.83126862410107671</v>
      </c>
      <c r="Q9" s="41">
        <v>0.81614614024749554</v>
      </c>
      <c r="R9" s="41">
        <v>0.82641480796694011</v>
      </c>
      <c r="S9" s="41">
        <v>0.83978909896900289</v>
      </c>
      <c r="T9" s="89">
        <f t="shared" si="0"/>
        <v>7.1335859734449114</v>
      </c>
      <c r="U9" s="89">
        <f t="shared" si="1"/>
        <v>-1.0554122314560099</v>
      </c>
      <c r="V9" s="89">
        <f t="shared" si="2"/>
        <v>1.3374291002062777</v>
      </c>
    </row>
    <row r="10" spans="1:23" x14ac:dyDescent="0.25">
      <c r="A10" s="17" t="s">
        <v>1</v>
      </c>
      <c r="B10" s="18">
        <v>0.66658579105335991</v>
      </c>
      <c r="C10" s="18">
        <v>0.6912781111500006</v>
      </c>
      <c r="D10" s="18">
        <v>0.70922233792689326</v>
      </c>
      <c r="E10" s="18">
        <v>0.7113320616485761</v>
      </c>
      <c r="F10" s="18">
        <v>0.6846562721474132</v>
      </c>
      <c r="G10" s="18">
        <v>0.68973220651564271</v>
      </c>
      <c r="H10" s="18">
        <v>0.69461321726761271</v>
      </c>
      <c r="I10" s="18">
        <v>0.7024570399536062</v>
      </c>
      <c r="J10" s="18">
        <v>0.71157616916382926</v>
      </c>
      <c r="K10" s="18">
        <v>0.72363000835048441</v>
      </c>
      <c r="L10" s="18">
        <v>0.73983376445526472</v>
      </c>
      <c r="M10" s="18">
        <v>0.74877261002307971</v>
      </c>
      <c r="N10" s="61">
        <v>0.73562169704699432</v>
      </c>
      <c r="O10" s="61">
        <v>0.75559151532642077</v>
      </c>
      <c r="P10" s="61">
        <v>0.75558506614668253</v>
      </c>
      <c r="Q10" s="61">
        <v>0.75949903510144479</v>
      </c>
      <c r="R10" s="61">
        <v>0.76487132988940454</v>
      </c>
      <c r="S10" s="61">
        <v>0.77306330481553465</v>
      </c>
      <c r="T10" s="90">
        <f t="shared" si="0"/>
        <v>6.1487135651705387</v>
      </c>
      <c r="U10" s="90">
        <f t="shared" si="1"/>
        <v>1.7471789489113876</v>
      </c>
      <c r="V10" s="90">
        <f t="shared" si="2"/>
        <v>0.81919749261301078</v>
      </c>
    </row>
    <row r="11" spans="1:23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98"/>
      <c r="O11" s="98"/>
      <c r="P11" s="98"/>
      <c r="Q11" s="98"/>
      <c r="R11" s="113"/>
      <c r="S11" s="113"/>
      <c r="T11" s="114"/>
      <c r="U11" s="114"/>
    </row>
    <row r="12" spans="1:23" ht="18" x14ac:dyDescent="0.25">
      <c r="A12" s="55" t="s">
        <v>439</v>
      </c>
      <c r="B12" s="55"/>
      <c r="C12" s="45"/>
      <c r="D12" s="45"/>
      <c r="E12" s="45"/>
      <c r="F12" s="45"/>
      <c r="G12" s="45"/>
      <c r="H12" s="6"/>
      <c r="I12" s="6"/>
      <c r="J12" s="6"/>
      <c r="K12" s="6"/>
      <c r="L12" s="6"/>
      <c r="M12" s="6"/>
      <c r="N12" s="6"/>
      <c r="O12" s="6"/>
      <c r="P12" s="6"/>
      <c r="Q12" s="6"/>
      <c r="R12" s="44"/>
      <c r="S12" s="44"/>
      <c r="T12" s="44"/>
      <c r="U12" s="12"/>
    </row>
    <row r="13" spans="1:23" ht="45" customHeight="1" x14ac:dyDescent="0.25">
      <c r="A13" s="14" t="s">
        <v>83</v>
      </c>
      <c r="B13" s="38">
        <v>2007</v>
      </c>
      <c r="C13" s="38">
        <v>2008</v>
      </c>
      <c r="D13" s="38">
        <v>2009</v>
      </c>
      <c r="E13" s="38">
        <v>2010</v>
      </c>
      <c r="F13" s="38">
        <v>2011</v>
      </c>
      <c r="G13" s="38">
        <v>2012</v>
      </c>
      <c r="H13" s="38">
        <v>2013</v>
      </c>
      <c r="I13" s="38">
        <v>2014</v>
      </c>
      <c r="J13" s="38">
        <v>2015</v>
      </c>
      <c r="K13" s="38">
        <v>2016</v>
      </c>
      <c r="L13" s="38">
        <v>2017</v>
      </c>
      <c r="M13" s="38">
        <v>2018</v>
      </c>
      <c r="N13" s="38">
        <v>2019</v>
      </c>
      <c r="O13" s="38">
        <v>2020</v>
      </c>
      <c r="P13" s="38">
        <v>2021</v>
      </c>
      <c r="Q13" s="38">
        <v>2022</v>
      </c>
      <c r="R13" s="38">
        <v>2023</v>
      </c>
      <c r="S13" s="38">
        <v>2024</v>
      </c>
      <c r="T13" s="39" t="s">
        <v>373</v>
      </c>
      <c r="U13" s="39" t="s">
        <v>374</v>
      </c>
      <c r="V13" s="39" t="s">
        <v>375</v>
      </c>
    </row>
    <row r="14" spans="1:23" x14ac:dyDescent="0.25">
      <c r="A14" s="15" t="s">
        <v>2</v>
      </c>
      <c r="B14" s="16">
        <v>0.59265206677925741</v>
      </c>
      <c r="C14" s="16">
        <v>0.63551102375662283</v>
      </c>
      <c r="D14" s="16">
        <v>0.68203970947983239</v>
      </c>
      <c r="E14" s="16">
        <v>0.65151892223715424</v>
      </c>
      <c r="F14" s="16">
        <v>0.62574333397276038</v>
      </c>
      <c r="G14" s="16">
        <v>0.64306706733150609</v>
      </c>
      <c r="H14" s="16">
        <v>0.64791444855013469</v>
      </c>
      <c r="I14" s="16">
        <v>0.63945567747503396</v>
      </c>
      <c r="J14" s="16">
        <v>0.66524093297449693</v>
      </c>
      <c r="K14" s="16">
        <v>0.67504809013465239</v>
      </c>
      <c r="L14" s="16">
        <v>0.69927711676812399</v>
      </c>
      <c r="M14" s="16">
        <v>0.71656994369857085</v>
      </c>
      <c r="N14" s="41">
        <v>0.68902449331462667</v>
      </c>
      <c r="O14" s="41">
        <v>0.67688822586883257</v>
      </c>
      <c r="P14" s="41">
        <v>0.69760230755363262</v>
      </c>
      <c r="Q14" s="41">
        <v>0.72591045651058839</v>
      </c>
      <c r="R14" s="41">
        <v>0.72173868784038275</v>
      </c>
      <c r="S14" s="41">
        <v>0.71905449570570801</v>
      </c>
      <c r="T14" s="89">
        <f>(S14-J14)*100</f>
        <v>5.3813562731211073</v>
      </c>
      <c r="U14" s="89">
        <f>(S14-O14)*100</f>
        <v>4.2166269836875436</v>
      </c>
      <c r="V14" s="89">
        <f>(S14-R14)*100</f>
        <v>-0.26841921346747455</v>
      </c>
    </row>
    <row r="15" spans="1:23" x14ac:dyDescent="0.25">
      <c r="A15" s="15" t="s">
        <v>3</v>
      </c>
      <c r="B15" s="16">
        <v>0.5941447734066363</v>
      </c>
      <c r="C15" s="16">
        <v>0.64187471968904175</v>
      </c>
      <c r="D15" s="16">
        <v>0.66484373003501063</v>
      </c>
      <c r="E15" s="16">
        <v>0.65803307414302925</v>
      </c>
      <c r="F15" s="16">
        <v>0.65397381793970488</v>
      </c>
      <c r="G15" s="16">
        <v>0.65574466906162554</v>
      </c>
      <c r="H15" s="16">
        <v>0.6703646925931902</v>
      </c>
      <c r="I15" s="16">
        <v>0.68094703930881406</v>
      </c>
      <c r="J15" s="16">
        <v>0.68239246088546535</v>
      </c>
      <c r="K15" s="16">
        <v>0.69182421309921682</v>
      </c>
      <c r="L15" s="16">
        <v>0.71147047438819833</v>
      </c>
      <c r="M15" s="16">
        <v>0.72521656256913836</v>
      </c>
      <c r="N15" s="41">
        <v>0.69881539564099326</v>
      </c>
      <c r="O15" s="41">
        <v>0.69990063555747206</v>
      </c>
      <c r="P15" s="41">
        <v>0.71169379144062683</v>
      </c>
      <c r="Q15" s="41">
        <v>0.72909010848244671</v>
      </c>
      <c r="R15" s="41">
        <v>0.72635592833330798</v>
      </c>
      <c r="S15" s="41">
        <v>0.73212584169737005</v>
      </c>
      <c r="T15" s="89">
        <f t="shared" ref="T15:T17" si="3">(S15-J15)*100</f>
        <v>4.9733380811904704</v>
      </c>
      <c r="U15" s="89">
        <f t="shared" ref="U15:U17" si="4">(S15-O15)*100</f>
        <v>3.2225206139897988</v>
      </c>
      <c r="V15" s="89">
        <f t="shared" ref="V15:V17" si="5">(S15-R15)*100</f>
        <v>0.57699133640620737</v>
      </c>
    </row>
    <row r="16" spans="1:23" x14ac:dyDescent="0.25">
      <c r="A16" s="15" t="s">
        <v>4</v>
      </c>
      <c r="B16" s="16">
        <v>0.77104745061398827</v>
      </c>
      <c r="C16" s="16">
        <v>0.77787769055662215</v>
      </c>
      <c r="D16" s="16">
        <v>0.78859733438282864</v>
      </c>
      <c r="E16" s="16">
        <v>0.80325975714325226</v>
      </c>
      <c r="F16" s="16">
        <v>0.77665319454070114</v>
      </c>
      <c r="G16" s="16">
        <v>0.76897021740612004</v>
      </c>
      <c r="H16" s="16">
        <v>0.77255118589811689</v>
      </c>
      <c r="I16" s="16">
        <v>0.78427523806049104</v>
      </c>
      <c r="J16" s="16">
        <v>0.79229191876009886</v>
      </c>
      <c r="K16" s="16">
        <v>0.8027793442919704</v>
      </c>
      <c r="L16" s="16">
        <v>0.80654561916011802</v>
      </c>
      <c r="M16" s="16">
        <v>0.80720353957281987</v>
      </c>
      <c r="N16" s="41">
        <v>0.81322752845364676</v>
      </c>
      <c r="O16" s="41">
        <v>0.8619581677441176</v>
      </c>
      <c r="P16" s="41">
        <v>0.84485676824665268</v>
      </c>
      <c r="Q16" s="41">
        <v>0.8299980357493616</v>
      </c>
      <c r="R16" s="41">
        <v>0.84252392220712113</v>
      </c>
      <c r="S16" s="41">
        <v>0.85433052355845118</v>
      </c>
      <c r="T16" s="89">
        <f t="shared" si="3"/>
        <v>6.2038604798352326</v>
      </c>
      <c r="U16" s="89">
        <f t="shared" si="4"/>
        <v>-0.76276441856664157</v>
      </c>
      <c r="V16" s="89">
        <f t="shared" si="5"/>
        <v>1.1806601351330048</v>
      </c>
    </row>
    <row r="17" spans="1:23" x14ac:dyDescent="0.25">
      <c r="A17" s="17" t="s">
        <v>1</v>
      </c>
      <c r="B17" s="18">
        <v>0.68918153879333588</v>
      </c>
      <c r="C17" s="18">
        <v>0.71141398082980867</v>
      </c>
      <c r="D17" s="18">
        <v>0.73043303106543733</v>
      </c>
      <c r="E17" s="18">
        <v>0.72761187731055554</v>
      </c>
      <c r="F17" s="18">
        <v>0.70587913149925907</v>
      </c>
      <c r="G17" s="18">
        <v>0.70595635324276962</v>
      </c>
      <c r="H17" s="18">
        <v>0.70986204024813915</v>
      </c>
      <c r="I17" s="18">
        <v>0.71595092024539875</v>
      </c>
      <c r="J17" s="18">
        <v>0.72626658118008824</v>
      </c>
      <c r="K17" s="18">
        <v>0.73826353383808752</v>
      </c>
      <c r="L17" s="18">
        <v>0.75184494826536818</v>
      </c>
      <c r="M17" s="18">
        <v>0.76026508466228226</v>
      </c>
      <c r="N17" s="61">
        <v>0.7471918980180704</v>
      </c>
      <c r="O17" s="61">
        <v>0.76803886403770971</v>
      </c>
      <c r="P17" s="61">
        <v>0.76540536905982615</v>
      </c>
      <c r="Q17" s="61">
        <v>0.77039000156470039</v>
      </c>
      <c r="R17" s="61">
        <v>0.77576683090945964</v>
      </c>
      <c r="S17" s="61">
        <v>0.78301908950517607</v>
      </c>
      <c r="T17" s="90">
        <f t="shared" si="3"/>
        <v>5.675250832508782</v>
      </c>
      <c r="U17" s="90">
        <f t="shared" si="4"/>
        <v>1.4980225467466357</v>
      </c>
      <c r="V17" s="90">
        <f t="shared" si="5"/>
        <v>0.72522585957164321</v>
      </c>
    </row>
    <row r="19" spans="1:23" ht="18" x14ac:dyDescent="0.25">
      <c r="A19" s="55" t="s">
        <v>440</v>
      </c>
      <c r="B19" s="55"/>
      <c r="C19" s="45"/>
      <c r="D19" s="45"/>
      <c r="E19" s="45"/>
      <c r="F19" s="45"/>
      <c r="G19" s="45"/>
      <c r="H19" s="6"/>
      <c r="I19" s="6"/>
      <c r="J19" s="6"/>
      <c r="K19" s="6"/>
      <c r="L19" s="6"/>
      <c r="M19" s="6"/>
      <c r="N19" s="6"/>
      <c r="O19" s="6"/>
      <c r="P19" s="6"/>
      <c r="Q19" s="6"/>
      <c r="R19" s="44"/>
      <c r="S19" s="44"/>
      <c r="T19" s="44"/>
      <c r="U19" s="12"/>
    </row>
    <row r="20" spans="1:23" ht="45" customHeight="1" x14ac:dyDescent="0.25">
      <c r="A20" s="14" t="s">
        <v>83</v>
      </c>
      <c r="B20" s="38">
        <v>2007</v>
      </c>
      <c r="C20" s="38">
        <v>2008</v>
      </c>
      <c r="D20" s="38">
        <v>2009</v>
      </c>
      <c r="E20" s="38">
        <v>2010</v>
      </c>
      <c r="F20" s="38">
        <v>2011</v>
      </c>
      <c r="G20" s="38">
        <v>2012</v>
      </c>
      <c r="H20" s="38">
        <v>2013</v>
      </c>
      <c r="I20" s="38">
        <v>2014</v>
      </c>
      <c r="J20" s="38">
        <v>2015</v>
      </c>
      <c r="K20" s="38">
        <v>2016</v>
      </c>
      <c r="L20" s="38">
        <v>2017</v>
      </c>
      <c r="M20" s="38">
        <v>2018</v>
      </c>
      <c r="N20" s="38">
        <v>2019</v>
      </c>
      <c r="O20" s="38">
        <v>2020</v>
      </c>
      <c r="P20" s="38">
        <v>2021</v>
      </c>
      <c r="Q20" s="38">
        <v>2022</v>
      </c>
      <c r="R20" s="38">
        <v>2023</v>
      </c>
      <c r="S20" s="38">
        <v>2024</v>
      </c>
      <c r="T20" s="39" t="s">
        <v>373</v>
      </c>
      <c r="U20" s="39" t="s">
        <v>374</v>
      </c>
      <c r="V20" s="39" t="s">
        <v>375</v>
      </c>
    </row>
    <row r="21" spans="1:23" x14ac:dyDescent="0.25">
      <c r="A21" s="15" t="s">
        <v>2</v>
      </c>
      <c r="B21" s="16">
        <v>0.65685650211799884</v>
      </c>
      <c r="C21" s="16">
        <v>0.6989617159459921</v>
      </c>
      <c r="D21" s="16">
        <v>0.7396506931143686</v>
      </c>
      <c r="E21" s="16">
        <v>0.72224710898744049</v>
      </c>
      <c r="F21" s="16">
        <v>0.70063622993797559</v>
      </c>
      <c r="G21" s="16">
        <v>0.70802100188224415</v>
      </c>
      <c r="H21" s="16">
        <v>0.70972944197407151</v>
      </c>
      <c r="I21" s="16">
        <v>0.70675625693502653</v>
      </c>
      <c r="J21" s="16">
        <v>0.7201877483019351</v>
      </c>
      <c r="K21" s="16">
        <v>0.73088417147568008</v>
      </c>
      <c r="L21" s="16">
        <v>0.75188503043718868</v>
      </c>
      <c r="M21" s="16">
        <v>0.76635773061931567</v>
      </c>
      <c r="N21" s="41">
        <v>0.73907604929089399</v>
      </c>
      <c r="O21" s="41">
        <v>0.73941470062802728</v>
      </c>
      <c r="P21" s="41">
        <v>0.74503335136109605</v>
      </c>
      <c r="Q21" s="41">
        <v>0.77658093353850666</v>
      </c>
      <c r="R21" s="41">
        <v>0.77901630444003322</v>
      </c>
      <c r="S21" s="41">
        <v>0.7739150262217831</v>
      </c>
      <c r="T21" s="89">
        <f>(S21-J21)*100</f>
        <v>5.3727277919847989</v>
      </c>
      <c r="U21" s="89">
        <f>(S21-O21)*100</f>
        <v>3.4500325593755821</v>
      </c>
      <c r="V21" s="89">
        <f>(S21-R21)*100</f>
        <v>-0.51012782182501271</v>
      </c>
    </row>
    <row r="22" spans="1:23" x14ac:dyDescent="0.25">
      <c r="A22" s="15" t="s">
        <v>3</v>
      </c>
      <c r="B22" s="16">
        <v>0.6845568023072417</v>
      </c>
      <c r="C22" s="16">
        <v>0.71759605322170728</v>
      </c>
      <c r="D22" s="16">
        <v>0.73830211341391738</v>
      </c>
      <c r="E22" s="16">
        <v>0.72455371810316505</v>
      </c>
      <c r="F22" s="16">
        <v>0.71859670423279909</v>
      </c>
      <c r="G22" s="16">
        <v>0.71917106101604134</v>
      </c>
      <c r="H22" s="16">
        <v>0.72882039696627399</v>
      </c>
      <c r="I22" s="16">
        <v>0.73568979371027154</v>
      </c>
      <c r="J22" s="16">
        <v>0.73459205877729328</v>
      </c>
      <c r="K22" s="16">
        <v>0.74214761976023014</v>
      </c>
      <c r="L22" s="16">
        <v>0.76303814889682164</v>
      </c>
      <c r="M22" s="16">
        <v>0.76903963648121987</v>
      </c>
      <c r="N22" s="41">
        <v>0.73758273259980611</v>
      </c>
      <c r="O22" s="41">
        <v>0.74655505352556295</v>
      </c>
      <c r="P22" s="41">
        <v>0.75622147593214506</v>
      </c>
      <c r="Q22" s="41">
        <v>0.7743565109483207</v>
      </c>
      <c r="R22" s="41">
        <v>0.77284489976100956</v>
      </c>
      <c r="S22" s="41">
        <v>0.78281031635116249</v>
      </c>
      <c r="T22" s="89">
        <f t="shared" ref="T22:T24" si="6">(S22-J22)*100</f>
        <v>4.8218257573869217</v>
      </c>
      <c r="U22" s="89">
        <f t="shared" ref="U22:U24" si="7">(S22-O22)*100</f>
        <v>3.6255262825599543</v>
      </c>
      <c r="V22" s="89">
        <f t="shared" ref="V22:V24" si="8">(S22-R22)*100</f>
        <v>0.99654165901529312</v>
      </c>
    </row>
    <row r="23" spans="1:23" x14ac:dyDescent="0.25">
      <c r="A23" s="15" t="s">
        <v>4</v>
      </c>
      <c r="B23" s="16">
        <v>0.84878870795515216</v>
      </c>
      <c r="C23" s="16">
        <v>0.85448108813117196</v>
      </c>
      <c r="D23" s="16">
        <v>0.86737759882537258</v>
      </c>
      <c r="E23" s="16">
        <v>0.87725085055182139</v>
      </c>
      <c r="F23" s="16">
        <v>0.87075679496064717</v>
      </c>
      <c r="G23" s="16">
        <v>0.87413616847270492</v>
      </c>
      <c r="H23" s="16">
        <v>0.87065247413261948</v>
      </c>
      <c r="I23" s="16">
        <v>0.87519427925134075</v>
      </c>
      <c r="J23" s="16">
        <v>0.88308178333611087</v>
      </c>
      <c r="K23" s="16">
        <v>0.89007943967527903</v>
      </c>
      <c r="L23" s="16">
        <v>0.8918494521739746</v>
      </c>
      <c r="M23" s="16">
        <v>0.89448425992677716</v>
      </c>
      <c r="N23" s="41">
        <v>0.89158117382983926</v>
      </c>
      <c r="O23" s="41">
        <v>0.91495184140332542</v>
      </c>
      <c r="P23" s="41">
        <v>0.90811712821327828</v>
      </c>
      <c r="Q23" s="41">
        <v>0.90431742290316242</v>
      </c>
      <c r="R23" s="41">
        <v>0.91597734375538986</v>
      </c>
      <c r="S23" s="41">
        <v>0.92410921180777106</v>
      </c>
      <c r="T23" s="89">
        <f t="shared" si="6"/>
        <v>4.1027428471660183</v>
      </c>
      <c r="U23" s="89">
        <f t="shared" si="7"/>
        <v>0.91573704044456417</v>
      </c>
      <c r="V23" s="89">
        <f t="shared" si="8"/>
        <v>0.8131868052381197</v>
      </c>
    </row>
    <row r="24" spans="1:23" x14ac:dyDescent="0.25">
      <c r="A24" s="17" t="s">
        <v>1</v>
      </c>
      <c r="B24" s="18">
        <v>0.76851602235761396</v>
      </c>
      <c r="C24" s="18">
        <v>0.78517240943075584</v>
      </c>
      <c r="D24" s="18">
        <v>0.8033877820934775</v>
      </c>
      <c r="E24" s="18">
        <v>0.79863603369401914</v>
      </c>
      <c r="F24" s="18">
        <v>0.78641195799239738</v>
      </c>
      <c r="G24" s="18">
        <v>0.78908292376869182</v>
      </c>
      <c r="H24" s="18">
        <v>0.78598457792947918</v>
      </c>
      <c r="I24" s="18">
        <v>0.78831303604676006</v>
      </c>
      <c r="J24" s="18">
        <v>0.79557606956781557</v>
      </c>
      <c r="K24" s="18">
        <v>0.80607008819229087</v>
      </c>
      <c r="L24" s="18">
        <v>0.81872273787786565</v>
      </c>
      <c r="M24" s="18">
        <v>0.82458821263603899</v>
      </c>
      <c r="N24" s="61">
        <v>0.80543752091475618</v>
      </c>
      <c r="O24" s="61">
        <v>0.8204874495818818</v>
      </c>
      <c r="P24" s="61">
        <v>0.81840004034359293</v>
      </c>
      <c r="Q24" s="61">
        <v>0.82867183017785429</v>
      </c>
      <c r="R24" s="61">
        <v>0.83580989990336318</v>
      </c>
      <c r="S24" s="61">
        <v>0.84285655566842632</v>
      </c>
      <c r="T24" s="90">
        <f t="shared" si="6"/>
        <v>4.7280486100610748</v>
      </c>
      <c r="U24" s="90">
        <f t="shared" si="7"/>
        <v>2.2369106086544521</v>
      </c>
      <c r="V24" s="90">
        <f t="shared" si="8"/>
        <v>0.70466557650631367</v>
      </c>
    </row>
    <row r="25" spans="1:23" x14ac:dyDescent="0.25">
      <c r="A25" s="131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115"/>
      <c r="U25" s="116"/>
      <c r="V25" s="116"/>
    </row>
    <row r="26" spans="1:23" ht="15.75" x14ac:dyDescent="0.25">
      <c r="A26" s="55" t="s">
        <v>393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115"/>
      <c r="U26" s="116"/>
      <c r="V26" s="116"/>
    </row>
    <row r="27" spans="1:23" ht="45" customHeight="1" x14ac:dyDescent="0.25">
      <c r="A27" s="14" t="s">
        <v>411</v>
      </c>
      <c r="B27" s="38">
        <v>2007</v>
      </c>
      <c r="C27" s="38">
        <v>2008</v>
      </c>
      <c r="D27" s="38">
        <v>2009</v>
      </c>
      <c r="E27" s="38">
        <v>2010</v>
      </c>
      <c r="F27" s="38">
        <v>2011</v>
      </c>
      <c r="G27" s="38">
        <v>2012</v>
      </c>
      <c r="H27" s="38">
        <v>2013</v>
      </c>
      <c r="I27" s="38">
        <v>2014</v>
      </c>
      <c r="J27" s="38">
        <v>2015</v>
      </c>
      <c r="K27" s="38">
        <v>2016</v>
      </c>
      <c r="L27" s="38">
        <v>2017</v>
      </c>
      <c r="M27" s="38">
        <v>2018</v>
      </c>
      <c r="N27" s="38">
        <v>2019</v>
      </c>
      <c r="O27" s="38">
        <v>2020</v>
      </c>
      <c r="P27" s="38">
        <v>2021</v>
      </c>
      <c r="Q27" s="38">
        <v>2022</v>
      </c>
      <c r="R27" s="38">
        <v>2023</v>
      </c>
      <c r="S27" s="38">
        <v>2024</v>
      </c>
      <c r="T27" s="39" t="s">
        <v>373</v>
      </c>
      <c r="U27" s="39" t="s">
        <v>374</v>
      </c>
      <c r="V27" s="39" t="s">
        <v>375</v>
      </c>
    </row>
    <row r="28" spans="1:23" x14ac:dyDescent="0.25">
      <c r="A28" s="15" t="s">
        <v>356</v>
      </c>
      <c r="B28" s="16">
        <v>0.66658579105335991</v>
      </c>
      <c r="C28" s="16">
        <v>0.6912781111500006</v>
      </c>
      <c r="D28" s="16">
        <v>0.70922233792689326</v>
      </c>
      <c r="E28" s="16">
        <v>0.7113320616485761</v>
      </c>
      <c r="F28" s="16">
        <v>0.6846562721474132</v>
      </c>
      <c r="G28" s="16">
        <v>0.68973220651564271</v>
      </c>
      <c r="H28" s="16">
        <v>0.69461321726761271</v>
      </c>
      <c r="I28" s="16">
        <v>0.7024570399536062</v>
      </c>
      <c r="J28" s="16">
        <v>0.71157616916382926</v>
      </c>
      <c r="K28" s="16">
        <v>0.72363000835048441</v>
      </c>
      <c r="L28" s="16">
        <v>0.73983376445526472</v>
      </c>
      <c r="M28" s="16">
        <v>0.74877261002307971</v>
      </c>
      <c r="N28" s="16">
        <v>0.73562169704699432</v>
      </c>
      <c r="O28" s="16">
        <v>0.75559151532642077</v>
      </c>
      <c r="P28" s="16">
        <v>0.75558506614668253</v>
      </c>
      <c r="Q28" s="16">
        <v>0.75949903510144479</v>
      </c>
      <c r="R28" s="16">
        <v>0.76487132988940454</v>
      </c>
      <c r="S28" s="16">
        <v>0.77306330481553465</v>
      </c>
      <c r="T28" s="89">
        <f>(S28-J28)*100</f>
        <v>6.1487135651705387</v>
      </c>
      <c r="U28" s="89">
        <f>(S28-O28)*100</f>
        <v>1.7471789489113876</v>
      </c>
      <c r="V28" s="89">
        <f>(S28-R28)*100</f>
        <v>0.81919749261301078</v>
      </c>
      <c r="W28" s="132"/>
    </row>
    <row r="29" spans="1:23" x14ac:dyDescent="0.25">
      <c r="A29" s="15" t="s">
        <v>357</v>
      </c>
      <c r="B29" s="16">
        <v>2.2595747739975917E-2</v>
      </c>
      <c r="C29" s="16">
        <v>2.0135869679808044E-2</v>
      </c>
      <c r="D29" s="16">
        <v>2.1210693138544099E-2</v>
      </c>
      <c r="E29" s="16">
        <v>1.627981566197944E-2</v>
      </c>
      <c r="F29" s="16">
        <v>2.1222859351845886E-2</v>
      </c>
      <c r="G29" s="16">
        <v>1.6224146727126965E-2</v>
      </c>
      <c r="H29" s="16">
        <v>1.5248822980526369E-2</v>
      </c>
      <c r="I29" s="16">
        <v>1.3493880291792571E-2</v>
      </c>
      <c r="J29" s="16">
        <v>1.469041201625905E-2</v>
      </c>
      <c r="K29" s="16">
        <v>1.46335254876031E-2</v>
      </c>
      <c r="L29" s="16">
        <v>1.2011183810103469E-2</v>
      </c>
      <c r="M29" s="16">
        <v>1.14924746392026E-2</v>
      </c>
      <c r="N29" s="16">
        <v>1.1570200971076076E-2</v>
      </c>
      <c r="O29" s="16">
        <v>1.2447348711288849E-2</v>
      </c>
      <c r="P29" s="16">
        <v>9.8203029131436071E-3</v>
      </c>
      <c r="Q29" s="16">
        <v>1.089096646325562E-2</v>
      </c>
      <c r="R29" s="16">
        <v>1.0895501020055119E-2</v>
      </c>
      <c r="S29" s="16">
        <v>9.9557846896414035E-3</v>
      </c>
      <c r="T29" s="89">
        <f t="shared" ref="T29:T31" si="9">(S29-J29)*100</f>
        <v>-0.47346273266176458</v>
      </c>
      <c r="U29" s="89">
        <f t="shared" ref="U29:U31" si="10">(S29-O29)*100</f>
        <v>-0.24915640216474461</v>
      </c>
      <c r="V29" s="89">
        <f t="shared" ref="V29:V31" si="11">(S29-R29)*100</f>
        <v>-9.3971633041371572E-2</v>
      </c>
      <c r="W29" s="132"/>
    </row>
    <row r="30" spans="1:23" x14ac:dyDescent="0.25">
      <c r="A30" s="15" t="s">
        <v>358</v>
      </c>
      <c r="B30" s="16">
        <v>7.9334483564278135E-2</v>
      </c>
      <c r="C30" s="16">
        <v>7.3758428600947126E-2</v>
      </c>
      <c r="D30" s="16">
        <v>7.2954751028040221E-2</v>
      </c>
      <c r="E30" s="16">
        <v>7.1024156383463599E-2</v>
      </c>
      <c r="F30" s="16">
        <v>8.0532826493138324E-2</v>
      </c>
      <c r="G30" s="16">
        <v>8.3126570525922192E-2</v>
      </c>
      <c r="H30" s="16">
        <v>7.612253768134003E-2</v>
      </c>
      <c r="I30" s="16">
        <v>7.2362115801361288E-2</v>
      </c>
      <c r="J30" s="16">
        <v>6.9309488387727283E-2</v>
      </c>
      <c r="K30" s="16">
        <v>6.7806554354203338E-2</v>
      </c>
      <c r="L30" s="16">
        <v>6.6877789612497462E-2</v>
      </c>
      <c r="M30" s="16">
        <v>6.432312797375675E-2</v>
      </c>
      <c r="N30" s="16">
        <v>5.8245622896685841E-2</v>
      </c>
      <c r="O30" s="16">
        <v>5.2448585544172109E-2</v>
      </c>
      <c r="P30" s="16">
        <v>5.2994671283766746E-2</v>
      </c>
      <c r="Q30" s="16">
        <v>5.8281828613153917E-2</v>
      </c>
      <c r="R30" s="16">
        <v>6.0043068993903527E-2</v>
      </c>
      <c r="S30" s="16">
        <v>5.9837466163250204E-2</v>
      </c>
      <c r="T30" s="89">
        <f t="shared" si="9"/>
        <v>-0.94720222244770791</v>
      </c>
      <c r="U30" s="89">
        <f t="shared" si="10"/>
        <v>0.73888806190780953</v>
      </c>
      <c r="V30" s="89">
        <f t="shared" si="11"/>
        <v>-2.0560283065332308E-2</v>
      </c>
      <c r="W30" s="132"/>
    </row>
    <row r="31" spans="1:23" x14ac:dyDescent="0.25">
      <c r="A31" s="15" t="s">
        <v>359</v>
      </c>
      <c r="B31" s="16">
        <v>0.23148397764238601</v>
      </c>
      <c r="C31" s="16">
        <v>0.21482759056924419</v>
      </c>
      <c r="D31" s="16">
        <v>0.19661221790652245</v>
      </c>
      <c r="E31" s="16">
        <v>0.20136396630598086</v>
      </c>
      <c r="F31" s="16">
        <v>0.21358804200760259</v>
      </c>
      <c r="G31" s="16">
        <v>0.21091707623130818</v>
      </c>
      <c r="H31" s="16">
        <v>0.21401542207052088</v>
      </c>
      <c r="I31" s="16">
        <v>0.21168696395323994</v>
      </c>
      <c r="J31" s="16">
        <v>0.20442393043218446</v>
      </c>
      <c r="K31" s="16">
        <v>0.19392991180770913</v>
      </c>
      <c r="L31" s="16">
        <v>0.1812772621221343</v>
      </c>
      <c r="M31" s="16">
        <v>0.17541178736396099</v>
      </c>
      <c r="N31" s="16">
        <v>0.19456247908524382</v>
      </c>
      <c r="O31" s="16">
        <v>0.17951255041811823</v>
      </c>
      <c r="P31" s="16">
        <v>0.18159995965640707</v>
      </c>
      <c r="Q31" s="16">
        <v>0.17132816982214571</v>
      </c>
      <c r="R31" s="16">
        <v>0.16419010009663679</v>
      </c>
      <c r="S31" s="16">
        <v>0.15714344433157373</v>
      </c>
      <c r="T31" s="90">
        <f t="shared" si="9"/>
        <v>-4.7280486100610721</v>
      </c>
      <c r="U31" s="90">
        <f t="shared" si="10"/>
        <v>-2.2369106086544495</v>
      </c>
      <c r="V31" s="90">
        <f t="shared" si="11"/>
        <v>-0.70466557650630535</v>
      </c>
      <c r="W31" s="132"/>
    </row>
    <row r="32" spans="1:23" x14ac:dyDescent="0.25">
      <c r="A32" s="131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151"/>
      <c r="P32" s="151"/>
      <c r="Q32" s="151"/>
      <c r="R32" s="151"/>
      <c r="S32" s="151"/>
      <c r="T32" s="115"/>
      <c r="U32" s="116"/>
      <c r="V32" s="116"/>
      <c r="W32" s="132"/>
    </row>
    <row r="33" spans="1:23" ht="15.75" x14ac:dyDescent="0.25">
      <c r="A33" s="55" t="s">
        <v>394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115"/>
      <c r="U33" s="116"/>
      <c r="V33" s="116"/>
    </row>
    <row r="34" spans="1:23" ht="45" customHeight="1" x14ac:dyDescent="0.25">
      <c r="A34" s="14" t="s">
        <v>411</v>
      </c>
      <c r="B34" s="38">
        <v>2007</v>
      </c>
      <c r="C34" s="38">
        <v>2008</v>
      </c>
      <c r="D34" s="38">
        <v>2009</v>
      </c>
      <c r="E34" s="38">
        <v>2010</v>
      </c>
      <c r="F34" s="38">
        <v>2011</v>
      </c>
      <c r="G34" s="38">
        <v>2012</v>
      </c>
      <c r="H34" s="38">
        <v>2013</v>
      </c>
      <c r="I34" s="38">
        <v>2014</v>
      </c>
      <c r="J34" s="38">
        <v>2015</v>
      </c>
      <c r="K34" s="38">
        <v>2016</v>
      </c>
      <c r="L34" s="38">
        <v>2017</v>
      </c>
      <c r="M34" s="38">
        <v>2018</v>
      </c>
      <c r="N34" s="38">
        <v>2019</v>
      </c>
      <c r="O34" s="38">
        <v>2020</v>
      </c>
      <c r="P34" s="38">
        <v>2021</v>
      </c>
      <c r="Q34" s="38">
        <v>2022</v>
      </c>
      <c r="R34" s="38">
        <v>2023</v>
      </c>
      <c r="S34" s="38">
        <v>2024</v>
      </c>
      <c r="T34" s="39" t="s">
        <v>373</v>
      </c>
      <c r="U34" s="39" t="s">
        <v>374</v>
      </c>
      <c r="V34" s="39" t="s">
        <v>375</v>
      </c>
    </row>
    <row r="35" spans="1:23" x14ac:dyDescent="0.25">
      <c r="A35" s="15" t="s">
        <v>356</v>
      </c>
      <c r="B35" s="16">
        <v>0.57338243029984215</v>
      </c>
      <c r="C35" s="16">
        <v>0.62568364382156894</v>
      </c>
      <c r="D35" s="16">
        <v>0.67077541577380384</v>
      </c>
      <c r="E35" s="16">
        <v>0.63962304846282747</v>
      </c>
      <c r="F35" s="16">
        <v>0.61599207110429055</v>
      </c>
      <c r="G35" s="16">
        <v>0.63396955387511145</v>
      </c>
      <c r="H35" s="16">
        <v>0.6391307070833594</v>
      </c>
      <c r="I35" s="16">
        <v>0.63193502650721245</v>
      </c>
      <c r="J35" s="16">
        <v>0.65588555683711391</v>
      </c>
      <c r="K35" s="16">
        <v>0.66687276724374833</v>
      </c>
      <c r="L35" s="16">
        <v>0.68720600442722746</v>
      </c>
      <c r="M35" s="16">
        <v>0.7043048938934604</v>
      </c>
      <c r="N35" s="16">
        <v>0.6776652749370341</v>
      </c>
      <c r="O35" s="16">
        <v>0.66138092343960075</v>
      </c>
      <c r="P35" s="16">
        <v>0.68902109248242294</v>
      </c>
      <c r="Q35" s="16">
        <v>0.71704403898292668</v>
      </c>
      <c r="R35" s="16">
        <v>0.70959094687908242</v>
      </c>
      <c r="S35" s="16">
        <v>0.70921942692103068</v>
      </c>
      <c r="T35" s="89">
        <f>(S35-J35)*100</f>
        <v>5.3333870083916768</v>
      </c>
      <c r="U35" s="89">
        <f>(S35-O35)*100</f>
        <v>4.7838503481429928</v>
      </c>
      <c r="V35" s="89">
        <f>(S35-R35)*100</f>
        <v>-3.7151995805173588E-2</v>
      </c>
      <c r="W35" s="132"/>
    </row>
    <row r="36" spans="1:23" x14ac:dyDescent="0.25">
      <c r="A36" s="15" t="s">
        <v>357</v>
      </c>
      <c r="B36" s="16">
        <v>1.9269636479415268E-2</v>
      </c>
      <c r="C36" s="16">
        <v>9.8273799350538371E-3</v>
      </c>
      <c r="D36" s="16">
        <v>1.1264293706028484E-2</v>
      </c>
      <c r="E36" s="16">
        <v>1.1895873774326812E-2</v>
      </c>
      <c r="F36" s="16">
        <v>9.7512628684698517E-3</v>
      </c>
      <c r="G36" s="16">
        <v>9.097513456394677E-3</v>
      </c>
      <c r="H36" s="16">
        <v>8.7837414667752238E-3</v>
      </c>
      <c r="I36" s="16">
        <v>7.5206509678214769E-3</v>
      </c>
      <c r="J36" s="16">
        <v>9.3553761373830584E-3</v>
      </c>
      <c r="K36" s="16">
        <v>8.175322890904094E-3</v>
      </c>
      <c r="L36" s="16">
        <v>1.2071112340896514E-2</v>
      </c>
      <c r="M36" s="16">
        <v>1.2265049805110437E-2</v>
      </c>
      <c r="N36" s="16">
        <v>1.135921837759259E-2</v>
      </c>
      <c r="O36" s="16">
        <v>1.5507302429231817E-2</v>
      </c>
      <c r="P36" s="16">
        <v>8.5812150712096628E-3</v>
      </c>
      <c r="Q36" s="16">
        <v>8.8664175276617577E-3</v>
      </c>
      <c r="R36" s="16">
        <v>1.2147740961300283E-2</v>
      </c>
      <c r="S36" s="16">
        <v>9.8350687846773584E-3</v>
      </c>
      <c r="T36" s="89">
        <f t="shared" ref="T36:T38" si="12">(S36-J36)*100</f>
        <v>4.7969264729430007E-2</v>
      </c>
      <c r="U36" s="89">
        <f t="shared" ref="U36:U38" si="13">(S36-O36)*100</f>
        <v>-0.56722336445544586</v>
      </c>
      <c r="V36" s="89">
        <f t="shared" ref="V36:V38" si="14">(S36-R36)*100</f>
        <v>-0.23126721766229247</v>
      </c>
      <c r="W36" s="132"/>
    </row>
    <row r="37" spans="1:23" x14ac:dyDescent="0.25">
      <c r="A37" s="15" t="s">
        <v>358</v>
      </c>
      <c r="B37" s="16">
        <v>6.4204435338741386E-2</v>
      </c>
      <c r="C37" s="16">
        <v>6.3450692189369343E-2</v>
      </c>
      <c r="D37" s="16">
        <v>5.7610983634536247E-2</v>
      </c>
      <c r="E37" s="16">
        <v>7.0728186750286193E-2</v>
      </c>
      <c r="F37" s="16">
        <v>7.4892895965215173E-2</v>
      </c>
      <c r="G37" s="16">
        <v>6.4953934550738043E-2</v>
      </c>
      <c r="H37" s="16">
        <v>6.181499342393687E-2</v>
      </c>
      <c r="I37" s="16">
        <v>6.7300579459992599E-2</v>
      </c>
      <c r="J37" s="16">
        <v>5.4946815327438163E-2</v>
      </c>
      <c r="K37" s="16">
        <v>5.5836081341027757E-2</v>
      </c>
      <c r="L37" s="16">
        <v>5.2607913669064747E-2</v>
      </c>
      <c r="M37" s="16">
        <v>4.9787786920744911E-2</v>
      </c>
      <c r="N37" s="16">
        <v>5.0051555976267349E-2</v>
      </c>
      <c r="O37" s="16">
        <v>6.2526474759194803E-2</v>
      </c>
      <c r="P37" s="16">
        <v>4.7431043807463491E-2</v>
      </c>
      <c r="Q37" s="16">
        <v>5.0670477027918222E-2</v>
      </c>
      <c r="R37" s="16">
        <v>5.7277616599650499E-2</v>
      </c>
      <c r="S37" s="16">
        <v>5.486053051607509E-2</v>
      </c>
      <c r="T37" s="89">
        <f t="shared" si="12"/>
        <v>-8.6284811363072922E-3</v>
      </c>
      <c r="U37" s="89">
        <f t="shared" si="13"/>
        <v>-0.76659442431197133</v>
      </c>
      <c r="V37" s="89">
        <f t="shared" si="14"/>
        <v>-0.24170860835754093</v>
      </c>
      <c r="W37" s="132"/>
    </row>
    <row r="38" spans="1:23" x14ac:dyDescent="0.25">
      <c r="A38" s="15" t="s">
        <v>359</v>
      </c>
      <c r="B38" s="16">
        <v>0.34314349788200116</v>
      </c>
      <c r="C38" s="16">
        <v>0.30103828405400784</v>
      </c>
      <c r="D38" s="16">
        <v>0.2603493068856314</v>
      </c>
      <c r="E38" s="16">
        <v>0.27775289101255951</v>
      </c>
      <c r="F38" s="16">
        <v>0.29936377006202441</v>
      </c>
      <c r="G38" s="16">
        <v>0.29197899811775585</v>
      </c>
      <c r="H38" s="16">
        <v>0.29027055802592849</v>
      </c>
      <c r="I38" s="16">
        <v>0.29324374306497347</v>
      </c>
      <c r="J38" s="16">
        <v>0.27981225169806484</v>
      </c>
      <c r="K38" s="16">
        <v>0.26911582852431987</v>
      </c>
      <c r="L38" s="16">
        <v>0.24811496956281129</v>
      </c>
      <c r="M38" s="16">
        <v>0.23364226938068428</v>
      </c>
      <c r="N38" s="16">
        <v>0.26092395070910596</v>
      </c>
      <c r="O38" s="16">
        <v>0.26058529937197267</v>
      </c>
      <c r="P38" s="16">
        <v>0.25496664863890389</v>
      </c>
      <c r="Q38" s="16">
        <v>0.22341906646149337</v>
      </c>
      <c r="R38" s="16">
        <v>0.22098369555996675</v>
      </c>
      <c r="S38" s="16">
        <v>0.22608497377821693</v>
      </c>
      <c r="T38" s="90">
        <f t="shared" si="12"/>
        <v>-5.3727277919847909</v>
      </c>
      <c r="U38" s="90">
        <f t="shared" si="13"/>
        <v>-3.4500325593755736</v>
      </c>
      <c r="V38" s="90">
        <f t="shared" si="14"/>
        <v>0.51012782182501826</v>
      </c>
      <c r="W38" s="132"/>
    </row>
    <row r="39" spans="1:23" x14ac:dyDescent="0.25">
      <c r="A39" s="131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115"/>
      <c r="U39" s="116"/>
      <c r="V39" s="116"/>
      <c r="W39" s="132"/>
    </row>
    <row r="40" spans="1:23" ht="15.75" x14ac:dyDescent="0.25">
      <c r="A40" s="55" t="s">
        <v>395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115"/>
      <c r="U40" s="116"/>
      <c r="V40" s="116"/>
    </row>
    <row r="41" spans="1:23" ht="45" customHeight="1" x14ac:dyDescent="0.25">
      <c r="A41" s="14" t="s">
        <v>411</v>
      </c>
      <c r="B41" s="38">
        <v>2007</v>
      </c>
      <c r="C41" s="38">
        <v>2008</v>
      </c>
      <c r="D41" s="38">
        <v>2009</v>
      </c>
      <c r="E41" s="38">
        <v>2010</v>
      </c>
      <c r="F41" s="38">
        <v>2011</v>
      </c>
      <c r="G41" s="38">
        <v>2012</v>
      </c>
      <c r="H41" s="38">
        <v>2013</v>
      </c>
      <c r="I41" s="38">
        <v>2014</v>
      </c>
      <c r="J41" s="38">
        <v>2015</v>
      </c>
      <c r="K41" s="38">
        <v>2016</v>
      </c>
      <c r="L41" s="38">
        <v>2017</v>
      </c>
      <c r="M41" s="38">
        <v>2018</v>
      </c>
      <c r="N41" s="38">
        <v>2019</v>
      </c>
      <c r="O41" s="38">
        <v>2020</v>
      </c>
      <c r="P41" s="38">
        <v>2021</v>
      </c>
      <c r="Q41" s="38">
        <v>2022</v>
      </c>
      <c r="R41" s="38">
        <v>2023</v>
      </c>
      <c r="S41" s="38">
        <v>2024</v>
      </c>
      <c r="T41" s="39" t="s">
        <v>373</v>
      </c>
      <c r="U41" s="39" t="s">
        <v>374</v>
      </c>
      <c r="V41" s="39" t="s">
        <v>375</v>
      </c>
    </row>
    <row r="42" spans="1:23" x14ac:dyDescent="0.25">
      <c r="A42" s="15" t="s">
        <v>356</v>
      </c>
      <c r="B42" s="16">
        <v>0.57332552235891432</v>
      </c>
      <c r="C42" s="16">
        <v>0.62948123785319177</v>
      </c>
      <c r="D42" s="16">
        <v>0.64158851038818332</v>
      </c>
      <c r="E42" s="16">
        <v>0.64470485160442448</v>
      </c>
      <c r="F42" s="16">
        <v>0.64074570894243665</v>
      </c>
      <c r="G42" s="16">
        <v>0.64525364092239779</v>
      </c>
      <c r="H42" s="16">
        <v>0.66088429885428435</v>
      </c>
      <c r="I42" s="16">
        <v>0.67389038720096739</v>
      </c>
      <c r="J42" s="16">
        <v>0.67539280011252412</v>
      </c>
      <c r="K42" s="16">
        <v>0.68481568314461017</v>
      </c>
      <c r="L42" s="16">
        <v>0.70821039955270737</v>
      </c>
      <c r="M42" s="16">
        <v>0.72223829541006479</v>
      </c>
      <c r="N42" s="16">
        <v>0.6931495299523629</v>
      </c>
      <c r="O42" s="16">
        <v>0.6879956504621384</v>
      </c>
      <c r="P42" s="16">
        <v>0.70536467751657628</v>
      </c>
      <c r="Q42" s="16">
        <v>0.72033145190344661</v>
      </c>
      <c r="R42" s="16">
        <v>0.721774009407395</v>
      </c>
      <c r="S42" s="16">
        <v>0.7275282683267692</v>
      </c>
      <c r="T42" s="89">
        <f>(S42-J42)*100</f>
        <v>5.213546821424508</v>
      </c>
      <c r="U42" s="89">
        <f>(S42-O42)*100</f>
        <v>3.9532617864630804</v>
      </c>
      <c r="V42" s="89">
        <f>(S42-R42)*100</f>
        <v>0.57542589193742</v>
      </c>
      <c r="W42" s="132"/>
    </row>
    <row r="43" spans="1:23" x14ac:dyDescent="0.25">
      <c r="A43" s="15" t="s">
        <v>357</v>
      </c>
      <c r="B43" s="16">
        <v>2.0819251047722049E-2</v>
      </c>
      <c r="C43" s="16">
        <v>1.2393481835849903E-2</v>
      </c>
      <c r="D43" s="16">
        <v>2.3255219646827325E-2</v>
      </c>
      <c r="E43" s="16">
        <v>1.3328222538604753E-2</v>
      </c>
      <c r="F43" s="16">
        <v>1.3228108997268215E-2</v>
      </c>
      <c r="G43" s="16">
        <v>1.0491028139227764E-2</v>
      </c>
      <c r="H43" s="16">
        <v>9.4803937389059227E-3</v>
      </c>
      <c r="I43" s="16">
        <v>7.0566521078466475E-3</v>
      </c>
      <c r="J43" s="16">
        <v>6.9996607729412644E-3</v>
      </c>
      <c r="K43" s="16">
        <v>7.0085299546066744E-3</v>
      </c>
      <c r="L43" s="16">
        <v>3.2600748354909468E-3</v>
      </c>
      <c r="M43" s="16">
        <v>2.9782671590735037E-3</v>
      </c>
      <c r="N43" s="16">
        <v>5.6658656886303272E-3</v>
      </c>
      <c r="O43" s="16">
        <v>1.1904985095333621E-2</v>
      </c>
      <c r="P43" s="16">
        <v>6.3291139240506328E-3</v>
      </c>
      <c r="Q43" s="16">
        <v>8.7586565790000407E-3</v>
      </c>
      <c r="R43" s="16">
        <v>4.5819189259129591E-3</v>
      </c>
      <c r="S43" s="16">
        <v>4.5975733706009403E-3</v>
      </c>
      <c r="T43" s="89">
        <f t="shared" ref="T43:T45" si="15">(S43-J43)*100</f>
        <v>-0.24020874023403241</v>
      </c>
      <c r="U43" s="89">
        <f t="shared" ref="U43:U45" si="16">(S43-O43)*100</f>
        <v>-0.73074117247326809</v>
      </c>
      <c r="V43" s="89">
        <f t="shared" ref="V43:V45" si="17">(S43-R43)*100</f>
        <v>1.5654444687981245E-3</v>
      </c>
      <c r="W43" s="132"/>
    </row>
    <row r="44" spans="1:23" x14ac:dyDescent="0.25">
      <c r="A44" s="15" t="s">
        <v>358</v>
      </c>
      <c r="B44" s="16">
        <v>9.0412028900605346E-2</v>
      </c>
      <c r="C44" s="16">
        <v>7.5721333532665566E-2</v>
      </c>
      <c r="D44" s="16">
        <v>7.3458383378906755E-2</v>
      </c>
      <c r="E44" s="16">
        <v>6.6520643960135795E-2</v>
      </c>
      <c r="F44" s="16">
        <v>6.4622886293094164E-2</v>
      </c>
      <c r="G44" s="16">
        <v>6.342639195441574E-2</v>
      </c>
      <c r="H44" s="16">
        <v>5.8455704373083749E-2</v>
      </c>
      <c r="I44" s="16">
        <v>5.4742754401457476E-2</v>
      </c>
      <c r="J44" s="16">
        <v>5.2199597891827938E-2</v>
      </c>
      <c r="K44" s="16">
        <v>5.0323406661013287E-2</v>
      </c>
      <c r="L44" s="16">
        <v>5.1567674508623283E-2</v>
      </c>
      <c r="M44" s="16">
        <v>4.3823073912081553E-2</v>
      </c>
      <c r="N44" s="16">
        <v>3.8767336958812869E-2</v>
      </c>
      <c r="O44" s="16">
        <v>4.6654417968090889E-2</v>
      </c>
      <c r="P44" s="16">
        <v>4.452768449151813E-2</v>
      </c>
      <c r="Q44" s="16">
        <v>4.5266402465874066E-2</v>
      </c>
      <c r="R44" s="16">
        <v>4.6488971427701579E-2</v>
      </c>
      <c r="S44" s="16">
        <v>5.0684474653792402E-2</v>
      </c>
      <c r="T44" s="89">
        <f t="shared" si="15"/>
        <v>-0.15151232380355359</v>
      </c>
      <c r="U44" s="89">
        <f t="shared" si="16"/>
        <v>0.40300566857015135</v>
      </c>
      <c r="V44" s="89">
        <f t="shared" si="17"/>
        <v>0.41955032260908232</v>
      </c>
      <c r="W44" s="132"/>
    </row>
    <row r="45" spans="1:23" x14ac:dyDescent="0.25">
      <c r="A45" s="15" t="s">
        <v>359</v>
      </c>
      <c r="B45" s="16">
        <v>0.3154431976927583</v>
      </c>
      <c r="C45" s="16">
        <v>0.28240394677829272</v>
      </c>
      <c r="D45" s="16">
        <v>0.26169788658608267</v>
      </c>
      <c r="E45" s="16">
        <v>0.27544628189683495</v>
      </c>
      <c r="F45" s="16">
        <v>0.28140329576720097</v>
      </c>
      <c r="G45" s="16">
        <v>0.28082893898395872</v>
      </c>
      <c r="H45" s="16">
        <v>0.27117960303372601</v>
      </c>
      <c r="I45" s="16">
        <v>0.26431020628972846</v>
      </c>
      <c r="J45" s="16">
        <v>0.26540794122270672</v>
      </c>
      <c r="K45" s="16">
        <v>0.25785238023976986</v>
      </c>
      <c r="L45" s="16">
        <v>0.23696185110317836</v>
      </c>
      <c r="M45" s="16">
        <v>0.2309603635187801</v>
      </c>
      <c r="N45" s="16">
        <v>0.26241726740019394</v>
      </c>
      <c r="O45" s="16">
        <v>0.2534449464744371</v>
      </c>
      <c r="P45" s="16">
        <v>0.243778524067855</v>
      </c>
      <c r="Q45" s="16">
        <v>0.22564348905167927</v>
      </c>
      <c r="R45" s="16">
        <v>0.22715510023899046</v>
      </c>
      <c r="S45" s="16">
        <v>0.21718968364883751</v>
      </c>
      <c r="T45" s="90">
        <f t="shared" si="15"/>
        <v>-4.8218257573869217</v>
      </c>
      <c r="U45" s="90">
        <f t="shared" si="16"/>
        <v>-3.6255262825599601</v>
      </c>
      <c r="V45" s="90">
        <f t="shared" si="17"/>
        <v>-0.9965416590152959</v>
      </c>
      <c r="W45" s="132"/>
    </row>
    <row r="46" spans="1:23" x14ac:dyDescent="0.25">
      <c r="A46" s="131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115"/>
      <c r="U46" s="116"/>
      <c r="V46" s="116"/>
      <c r="W46" s="132"/>
    </row>
    <row r="47" spans="1:23" ht="15.75" x14ac:dyDescent="0.25">
      <c r="A47" s="55" t="s">
        <v>396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115"/>
      <c r="U47" s="116"/>
      <c r="V47" s="116"/>
    </row>
    <row r="48" spans="1:23" ht="45" customHeight="1" x14ac:dyDescent="0.25">
      <c r="A48" s="14" t="s">
        <v>411</v>
      </c>
      <c r="B48" s="38">
        <v>2007</v>
      </c>
      <c r="C48" s="38">
        <v>2008</v>
      </c>
      <c r="D48" s="38">
        <v>2009</v>
      </c>
      <c r="E48" s="38">
        <v>2010</v>
      </c>
      <c r="F48" s="38">
        <v>2011</v>
      </c>
      <c r="G48" s="38">
        <v>2012</v>
      </c>
      <c r="H48" s="38">
        <v>2013</v>
      </c>
      <c r="I48" s="38">
        <v>2014</v>
      </c>
      <c r="J48" s="38">
        <v>2015</v>
      </c>
      <c r="K48" s="38">
        <v>2016</v>
      </c>
      <c r="L48" s="38">
        <v>2017</v>
      </c>
      <c r="M48" s="38">
        <v>2018</v>
      </c>
      <c r="N48" s="38">
        <v>2019</v>
      </c>
      <c r="O48" s="38">
        <v>2020</v>
      </c>
      <c r="P48" s="38">
        <v>2021</v>
      </c>
      <c r="Q48" s="38">
        <v>2022</v>
      </c>
      <c r="R48" s="38">
        <v>2023</v>
      </c>
      <c r="S48" s="38">
        <v>2024</v>
      </c>
      <c r="T48" s="39" t="s">
        <v>373</v>
      </c>
      <c r="U48" s="39" t="s">
        <v>374</v>
      </c>
      <c r="V48" s="39" t="s">
        <v>375</v>
      </c>
    </row>
    <row r="49" spans="1:23" x14ac:dyDescent="0.25">
      <c r="A49" s="15" t="s">
        <v>356</v>
      </c>
      <c r="B49" s="16">
        <v>0.74646289375333685</v>
      </c>
      <c r="C49" s="16">
        <v>0.74963747863351726</v>
      </c>
      <c r="D49" s="16">
        <v>0.76462797157280493</v>
      </c>
      <c r="E49" s="16">
        <v>0.78328907697839734</v>
      </c>
      <c r="F49" s="16">
        <v>0.74490335064810309</v>
      </c>
      <c r="G49" s="16">
        <v>0.74557350235125741</v>
      </c>
      <c r="H49" s="16">
        <v>0.74931480655236149</v>
      </c>
      <c r="I49" s="16">
        <v>0.76204896201977457</v>
      </c>
      <c r="J49" s="16">
        <v>0.76845323923455378</v>
      </c>
      <c r="K49" s="16">
        <v>0.77914238569668104</v>
      </c>
      <c r="L49" s="16">
        <v>0.78736286666147959</v>
      </c>
      <c r="M49" s="16">
        <v>0.78895438417935349</v>
      </c>
      <c r="N49" s="41">
        <v>0.79652944646685564</v>
      </c>
      <c r="O49" s="41">
        <v>0.85034322128356299</v>
      </c>
      <c r="P49" s="41">
        <v>0.83126862410107671</v>
      </c>
      <c r="Q49" s="41">
        <v>0.81614614024749554</v>
      </c>
      <c r="R49" s="41">
        <v>0.82641480796694011</v>
      </c>
      <c r="S49" s="41">
        <v>0.83978909896900289</v>
      </c>
      <c r="T49" s="89">
        <f>(S49-J49)*100</f>
        <v>7.1335859734449114</v>
      </c>
      <c r="U49" s="89">
        <f>(S49-O49)*100</f>
        <v>-1.0554122314560099</v>
      </c>
      <c r="V49" s="89">
        <f>(S49-R49)*100</f>
        <v>1.3374291002062777</v>
      </c>
      <c r="W49" s="132"/>
    </row>
    <row r="50" spans="1:23" x14ac:dyDescent="0.25">
      <c r="A50" s="15" t="s">
        <v>357</v>
      </c>
      <c r="B50" s="16">
        <v>2.4584556860651363E-2</v>
      </c>
      <c r="C50" s="16">
        <v>2.8240211923104965E-2</v>
      </c>
      <c r="D50" s="16">
        <v>2.3969362810023688E-2</v>
      </c>
      <c r="E50" s="16">
        <v>1.9970680164854922E-2</v>
      </c>
      <c r="F50" s="16">
        <v>3.1749843892598106E-2</v>
      </c>
      <c r="G50" s="16">
        <v>2.3396715054862672E-2</v>
      </c>
      <c r="H50" s="16">
        <v>2.3236379345755342E-2</v>
      </c>
      <c r="I50" s="16">
        <v>2.2226276040716551E-2</v>
      </c>
      <c r="J50" s="16">
        <v>2.3838679525545064E-2</v>
      </c>
      <c r="K50" s="16">
        <v>2.3636958595289317E-2</v>
      </c>
      <c r="L50" s="16">
        <v>1.9182752498638392E-2</v>
      </c>
      <c r="M50" s="16">
        <v>1.8249155393466492E-2</v>
      </c>
      <c r="N50" s="16">
        <v>1.6698081986791177E-2</v>
      </c>
      <c r="O50" s="16">
        <v>1.1614946460554535E-2</v>
      </c>
      <c r="P50" s="16">
        <v>1.3588144145575907E-2</v>
      </c>
      <c r="Q50" s="16">
        <v>1.3851895501866038E-2</v>
      </c>
      <c r="R50" s="16">
        <v>1.6109114240181029E-2</v>
      </c>
      <c r="S50" s="16">
        <v>1.4541424589448232E-2</v>
      </c>
      <c r="T50" s="89">
        <f t="shared" ref="T50:T52" si="18">(S50-J50)*100</f>
        <v>-0.92972549360968315</v>
      </c>
      <c r="U50" s="89">
        <f t="shared" ref="U50:U52" si="19">(S50-O50)*100</f>
        <v>0.29264781288936975</v>
      </c>
      <c r="V50" s="89">
        <f t="shared" ref="V50:V52" si="20">(S50-R50)*100</f>
        <v>-0.15676896507327964</v>
      </c>
      <c r="W50" s="132"/>
    </row>
    <row r="51" spans="1:23" x14ac:dyDescent="0.25">
      <c r="A51" s="15" t="s">
        <v>358</v>
      </c>
      <c r="B51" s="16">
        <v>7.7741257341163911E-2</v>
      </c>
      <c r="C51" s="16">
        <v>7.6603397574549786E-2</v>
      </c>
      <c r="D51" s="16">
        <v>7.8780264442543921E-2</v>
      </c>
      <c r="E51" s="16">
        <v>7.3991093408569131E-2</v>
      </c>
      <c r="F51" s="16">
        <v>9.410360041994606E-2</v>
      </c>
      <c r="G51" s="16">
        <v>0.10516595106658488</v>
      </c>
      <c r="H51" s="16">
        <v>9.8101288234502593E-2</v>
      </c>
      <c r="I51" s="16">
        <v>9.0919041190849717E-2</v>
      </c>
      <c r="J51" s="16">
        <v>9.0789864576012055E-2</v>
      </c>
      <c r="K51" s="16">
        <v>8.7300095383308615E-2</v>
      </c>
      <c r="L51" s="16">
        <v>8.5303833013856564E-2</v>
      </c>
      <c r="M51" s="16">
        <v>8.7280720353957286E-2</v>
      </c>
      <c r="N51" s="16">
        <v>7.8353645376192466E-2</v>
      </c>
      <c r="O51" s="16">
        <v>5.2993673659207784E-2</v>
      </c>
      <c r="P51" s="16">
        <v>6.3260359966625615E-2</v>
      </c>
      <c r="Q51" s="16">
        <v>7.431938715380082E-2</v>
      </c>
      <c r="R51" s="16">
        <v>7.3453421548268699E-2</v>
      </c>
      <c r="S51" s="16">
        <v>6.9778688249319945E-2</v>
      </c>
      <c r="T51" s="89">
        <f t="shared" si="18"/>
        <v>-2.1011176326692111</v>
      </c>
      <c r="U51" s="89">
        <f t="shared" si="19"/>
        <v>1.6785014590112162</v>
      </c>
      <c r="V51" s="89">
        <f t="shared" si="20"/>
        <v>-0.36747332989487541</v>
      </c>
      <c r="W51" s="132"/>
    </row>
    <row r="52" spans="1:23" x14ac:dyDescent="0.25">
      <c r="A52" s="15" t="s">
        <v>359</v>
      </c>
      <c r="B52" s="16">
        <v>0.15121129204484784</v>
      </c>
      <c r="C52" s="16">
        <v>0.14551891186882801</v>
      </c>
      <c r="D52" s="16">
        <v>0.13262240117462745</v>
      </c>
      <c r="E52" s="16">
        <v>0.12274914944817858</v>
      </c>
      <c r="F52" s="16">
        <v>0.1292432050393528</v>
      </c>
      <c r="G52" s="16">
        <v>0.12586383152729502</v>
      </c>
      <c r="H52" s="16">
        <v>0.12934752586738055</v>
      </c>
      <c r="I52" s="16">
        <v>0.1248057207486592</v>
      </c>
      <c r="J52" s="16">
        <v>0.11691821666388912</v>
      </c>
      <c r="K52" s="16">
        <v>0.10992056032472099</v>
      </c>
      <c r="L52" s="16">
        <v>0.10815054782602546</v>
      </c>
      <c r="M52" s="16">
        <v>0.10551574007322279</v>
      </c>
      <c r="N52" s="16">
        <v>0.10841882617016073</v>
      </c>
      <c r="O52" s="16">
        <v>8.5048158596674639E-2</v>
      </c>
      <c r="P52" s="16">
        <v>9.1882871786721762E-2</v>
      </c>
      <c r="Q52" s="16">
        <v>9.5682577096837557E-2</v>
      </c>
      <c r="R52" s="16">
        <v>8.4022656244610167E-2</v>
      </c>
      <c r="S52" s="16">
        <v>7.58907881922289E-2</v>
      </c>
      <c r="T52" s="90">
        <f t="shared" si="18"/>
        <v>-4.1027428471660219</v>
      </c>
      <c r="U52" s="90">
        <f t="shared" si="19"/>
        <v>-0.91573704044457394</v>
      </c>
      <c r="V52" s="90">
        <f t="shared" si="20"/>
        <v>-0.81318680523812659</v>
      </c>
      <c r="W52" s="132"/>
    </row>
    <row r="53" spans="1:23" x14ac:dyDescent="0.25">
      <c r="A53" s="131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115"/>
      <c r="U53" s="116"/>
      <c r="V53" s="116"/>
      <c r="W53" s="132"/>
    </row>
    <row r="54" spans="1:23" ht="18" x14ac:dyDescent="0.25">
      <c r="A54" s="55" t="s">
        <v>398</v>
      </c>
      <c r="B54" s="55"/>
    </row>
    <row r="55" spans="1:23" ht="60" customHeight="1" x14ac:dyDescent="0.25">
      <c r="A55" s="14" t="s">
        <v>83</v>
      </c>
      <c r="B55" s="39" t="s">
        <v>250</v>
      </c>
      <c r="C55" s="39" t="s">
        <v>251</v>
      </c>
      <c r="D55" s="39" t="s">
        <v>321</v>
      </c>
      <c r="E55" s="39" t="s">
        <v>293</v>
      </c>
    </row>
    <row r="56" spans="1:23" x14ac:dyDescent="0.25">
      <c r="A56" s="15" t="s">
        <v>2</v>
      </c>
      <c r="B56" s="16">
        <v>0.70921942692103068</v>
      </c>
      <c r="C56" s="16">
        <v>0.71905449570570801</v>
      </c>
      <c r="D56" s="16">
        <v>0.7739150262217831</v>
      </c>
      <c r="E56" s="142">
        <v>65785</v>
      </c>
    </row>
    <row r="57" spans="1:23" x14ac:dyDescent="0.25">
      <c r="A57" s="15" t="s">
        <v>3</v>
      </c>
      <c r="B57" s="16">
        <v>0.7275282683267692</v>
      </c>
      <c r="C57" s="16">
        <v>0.73212584169737005</v>
      </c>
      <c r="D57" s="16">
        <v>0.78281031635116249</v>
      </c>
      <c r="E57" s="142">
        <v>125936</v>
      </c>
    </row>
    <row r="58" spans="1:23" x14ac:dyDescent="0.25">
      <c r="A58" s="15" t="s">
        <v>4</v>
      </c>
      <c r="B58" s="16">
        <v>0.83978909896900289</v>
      </c>
      <c r="C58" s="16">
        <v>0.85433052355845118</v>
      </c>
      <c r="D58" s="16">
        <v>0.92410921180777106</v>
      </c>
      <c r="E58" s="142">
        <v>148885</v>
      </c>
    </row>
    <row r="59" spans="1:23" x14ac:dyDescent="0.25">
      <c r="A59" s="17" t="s">
        <v>1</v>
      </c>
      <c r="B59" s="16">
        <v>0.77306330481553465</v>
      </c>
      <c r="C59" s="16">
        <v>0.78301908950517607</v>
      </c>
      <c r="D59" s="16">
        <v>0.84285655566842632</v>
      </c>
      <c r="E59" s="143">
        <f>SUM(E56:E58)</f>
        <v>340606</v>
      </c>
    </row>
    <row r="61" spans="1:23" ht="18" x14ac:dyDescent="0.25">
      <c r="A61" s="55" t="s">
        <v>399</v>
      </c>
      <c r="B61" s="55"/>
    </row>
    <row r="62" spans="1:23" ht="60" customHeight="1" x14ac:dyDescent="0.25">
      <c r="A62" s="63" t="s">
        <v>215</v>
      </c>
      <c r="B62" s="39" t="s">
        <v>250</v>
      </c>
      <c r="C62" s="39" t="s">
        <v>251</v>
      </c>
      <c r="D62" s="39" t="s">
        <v>321</v>
      </c>
      <c r="E62" s="39" t="s">
        <v>293</v>
      </c>
    </row>
    <row r="63" spans="1:23" x14ac:dyDescent="0.25">
      <c r="A63" s="78" t="s">
        <v>116</v>
      </c>
      <c r="B63" s="138">
        <v>0.82642476948596122</v>
      </c>
      <c r="C63" s="138">
        <v>0.83659380589613552</v>
      </c>
      <c r="D63" s="138">
        <v>0.88898513189863881</v>
      </c>
      <c r="E63" s="142">
        <v>230897</v>
      </c>
      <c r="F63" s="155"/>
      <c r="G63" s="155"/>
    </row>
    <row r="64" spans="1:23" x14ac:dyDescent="0.25">
      <c r="A64" s="78" t="s">
        <v>117</v>
      </c>
      <c r="B64" s="138">
        <v>0.66075709376623615</v>
      </c>
      <c r="C64" s="138">
        <v>0.67026406220091328</v>
      </c>
      <c r="D64" s="138">
        <v>0.74577290833021903</v>
      </c>
      <c r="E64" s="142">
        <v>109709</v>
      </c>
      <c r="F64" s="155"/>
      <c r="G64" s="155"/>
      <c r="H64" s="132"/>
    </row>
    <row r="65" spans="1:9" x14ac:dyDescent="0.25">
      <c r="A65" s="79" t="s">
        <v>1</v>
      </c>
      <c r="B65" s="61">
        <v>0.77306330481553465</v>
      </c>
      <c r="C65" s="61">
        <v>0.78301908950517607</v>
      </c>
      <c r="D65" s="61">
        <v>0.84285655566842632</v>
      </c>
      <c r="E65" s="143">
        <v>340606</v>
      </c>
      <c r="F65" s="155"/>
      <c r="G65" s="155"/>
    </row>
    <row r="66" spans="1:9" x14ac:dyDescent="0.25">
      <c r="A66" s="53"/>
      <c r="B66" s="53"/>
      <c r="C66" s="53"/>
      <c r="D66" s="53"/>
      <c r="E66" s="53"/>
      <c r="F66" s="53"/>
      <c r="G66" s="53"/>
      <c r="H66" s="53"/>
    </row>
    <row r="67" spans="1:9" ht="18" x14ac:dyDescent="0.25">
      <c r="A67" s="55" t="s">
        <v>400</v>
      </c>
      <c r="B67" s="55"/>
      <c r="C67" s="12"/>
      <c r="D67" s="12"/>
      <c r="E67" s="12"/>
      <c r="F67" s="12"/>
    </row>
    <row r="68" spans="1:9" ht="60" customHeight="1" x14ac:dyDescent="0.25">
      <c r="A68" s="63" t="s">
        <v>118</v>
      </c>
      <c r="B68" s="39" t="s">
        <v>250</v>
      </c>
      <c r="C68" s="39" t="s">
        <v>251</v>
      </c>
      <c r="D68" s="39" t="s">
        <v>321</v>
      </c>
      <c r="E68" s="39" t="s">
        <v>293</v>
      </c>
    </row>
    <row r="69" spans="1:9" x14ac:dyDescent="0.25">
      <c r="A69" s="80" t="s">
        <v>2</v>
      </c>
      <c r="B69" s="137">
        <v>0.70921942692103068</v>
      </c>
      <c r="C69" s="137">
        <v>0.71905449570570801</v>
      </c>
      <c r="D69" s="137">
        <v>0.7739150262217831</v>
      </c>
      <c r="E69" s="143">
        <v>65785</v>
      </c>
      <c r="G69" s="144"/>
    </row>
    <row r="70" spans="1:9" x14ac:dyDescent="0.25">
      <c r="A70" s="75" t="s">
        <v>116</v>
      </c>
      <c r="B70" s="138">
        <v>0.75973185934376097</v>
      </c>
      <c r="C70" s="138">
        <v>0.7705711709592693</v>
      </c>
      <c r="D70" s="138">
        <v>0.8172409737739621</v>
      </c>
      <c r="E70" s="142">
        <v>51018</v>
      </c>
    </row>
    <row r="71" spans="1:9" x14ac:dyDescent="0.25">
      <c r="A71" s="75" t="s">
        <v>117</v>
      </c>
      <c r="B71" s="138">
        <v>0.53470576284959703</v>
      </c>
      <c r="C71" s="138">
        <v>0.54107130764542566</v>
      </c>
      <c r="D71" s="138">
        <v>0.62422970136114309</v>
      </c>
      <c r="E71" s="142">
        <v>14767</v>
      </c>
      <c r="F71" s="132"/>
      <c r="G71" s="132"/>
      <c r="H71" s="132"/>
      <c r="I71" s="136"/>
    </row>
    <row r="72" spans="1:9" x14ac:dyDescent="0.25">
      <c r="A72" s="80" t="s">
        <v>3</v>
      </c>
      <c r="B72" s="137">
        <v>0.7275282683267692</v>
      </c>
      <c r="C72" s="137">
        <v>0.73212584169737005</v>
      </c>
      <c r="D72" s="137">
        <v>0.78281031635116249</v>
      </c>
      <c r="E72" s="143">
        <v>125936</v>
      </c>
      <c r="G72" s="144"/>
      <c r="I72" s="136"/>
    </row>
    <row r="73" spans="1:9" x14ac:dyDescent="0.25">
      <c r="A73" s="75" t="s">
        <v>116</v>
      </c>
      <c r="B73" s="138">
        <v>0.80992784198617995</v>
      </c>
      <c r="C73" s="138">
        <v>0.8128019323671497</v>
      </c>
      <c r="D73" s="138">
        <v>0.85412462545098755</v>
      </c>
      <c r="E73" s="142">
        <v>65412</v>
      </c>
      <c r="I73" s="136"/>
    </row>
    <row r="74" spans="1:9" x14ac:dyDescent="0.25">
      <c r="A74" s="75" t="s">
        <v>117</v>
      </c>
      <c r="B74" s="138">
        <v>0.6384739937875884</v>
      </c>
      <c r="C74" s="138">
        <v>0.64493424096226293</v>
      </c>
      <c r="D74" s="138">
        <v>0.70573656731214063</v>
      </c>
      <c r="E74" s="142">
        <v>60524</v>
      </c>
      <c r="F74" s="132"/>
      <c r="G74" s="132"/>
      <c r="H74" s="132"/>
    </row>
    <row r="75" spans="1:9" x14ac:dyDescent="0.25">
      <c r="A75" s="80" t="s">
        <v>4</v>
      </c>
      <c r="B75" s="137">
        <v>0.83978909896900289</v>
      </c>
      <c r="C75" s="137">
        <v>0.85433052355845118</v>
      </c>
      <c r="D75" s="137">
        <v>0.92410921180777106</v>
      </c>
      <c r="E75" s="143">
        <v>148885</v>
      </c>
      <c r="G75" s="144"/>
    </row>
    <row r="76" spans="1:9" x14ac:dyDescent="0.25">
      <c r="A76" s="75" t="s">
        <v>116</v>
      </c>
      <c r="B76" s="138">
        <v>0.86557697851782611</v>
      </c>
      <c r="C76" s="138">
        <v>0.87961595918474322</v>
      </c>
      <c r="D76" s="138">
        <v>0.94088252509456871</v>
      </c>
      <c r="E76" s="142">
        <v>114467</v>
      </c>
    </row>
    <row r="77" spans="1:9" x14ac:dyDescent="0.25">
      <c r="A77" s="75" t="s">
        <v>117</v>
      </c>
      <c r="B77" s="138">
        <v>0.75402405717938292</v>
      </c>
      <c r="C77" s="138">
        <v>0.77023650415480271</v>
      </c>
      <c r="D77" s="138">
        <v>0.86832471381253995</v>
      </c>
      <c r="E77" s="142">
        <v>34418</v>
      </c>
      <c r="F77" s="132"/>
      <c r="G77" s="132"/>
      <c r="H77" s="132"/>
    </row>
    <row r="78" spans="1:9" x14ac:dyDescent="0.25">
      <c r="A78" s="79" t="s">
        <v>1</v>
      </c>
      <c r="B78" s="137">
        <v>0.77306330481553465</v>
      </c>
      <c r="C78" s="137">
        <v>0.78301908950517607</v>
      </c>
      <c r="D78" s="137">
        <v>0.84285655566842632</v>
      </c>
      <c r="E78" s="143">
        <v>340606</v>
      </c>
      <c r="G78" s="136"/>
    </row>
    <row r="80" spans="1:9" x14ac:dyDescent="0.25">
      <c r="A80" s="76" t="s">
        <v>252</v>
      </c>
      <c r="B80" s="58"/>
    </row>
    <row r="81" spans="1:2" x14ac:dyDescent="0.25">
      <c r="A81" s="54"/>
      <c r="B81" s="54"/>
    </row>
    <row r="82" spans="1:2" x14ac:dyDescent="0.25">
      <c r="A82" s="59" t="s">
        <v>72</v>
      </c>
      <c r="B82" s="59"/>
    </row>
    <row r="83" spans="1:2" x14ac:dyDescent="0.25">
      <c r="B83" s="59"/>
    </row>
    <row r="84" spans="1:2" x14ac:dyDescent="0.25">
      <c r="B84" s="59"/>
    </row>
    <row r="85" spans="1:2" x14ac:dyDescent="0.25">
      <c r="B85" s="59"/>
    </row>
    <row r="86" spans="1:2" x14ac:dyDescent="0.25">
      <c r="B86" s="59"/>
    </row>
    <row r="87" spans="1:2" x14ac:dyDescent="0.25">
      <c r="B87" s="59"/>
    </row>
    <row r="88" spans="1:2" x14ac:dyDescent="0.25">
      <c r="B88" s="59"/>
    </row>
    <row r="89" spans="1:2" x14ac:dyDescent="0.25">
      <c r="B89" s="59"/>
    </row>
    <row r="90" spans="1:2" x14ac:dyDescent="0.25">
      <c r="B90" s="59"/>
    </row>
    <row r="91" spans="1:2" x14ac:dyDescent="0.25">
      <c r="B91" s="59"/>
    </row>
    <row r="92" spans="1:2" x14ac:dyDescent="0.25">
      <c r="B92" s="59"/>
    </row>
    <row r="93" spans="1:2" x14ac:dyDescent="0.25">
      <c r="B93" s="59"/>
    </row>
    <row r="94" spans="1:2" x14ac:dyDescent="0.25">
      <c r="B94" s="59"/>
    </row>
    <row r="95" spans="1:2" x14ac:dyDescent="0.25">
      <c r="B95" s="59"/>
    </row>
    <row r="96" spans="1:2" x14ac:dyDescent="0.25">
      <c r="B96" s="59"/>
    </row>
    <row r="97" spans="2:2" x14ac:dyDescent="0.25">
      <c r="B97" s="59"/>
    </row>
    <row r="98" spans="2:2" x14ac:dyDescent="0.25">
      <c r="B98" s="59"/>
    </row>
    <row r="99" spans="2:2" x14ac:dyDescent="0.25">
      <c r="B99" s="59"/>
    </row>
    <row r="100" spans="2:2" x14ac:dyDescent="0.25">
      <c r="B100" s="59"/>
    </row>
    <row r="101" spans="2:2" x14ac:dyDescent="0.25">
      <c r="B101" s="59"/>
    </row>
    <row r="102" spans="2:2" x14ac:dyDescent="0.25">
      <c r="B102" s="59"/>
    </row>
    <row r="103" spans="2:2" x14ac:dyDescent="0.25">
      <c r="B103" s="59"/>
    </row>
    <row r="104" spans="2:2" x14ac:dyDescent="0.25">
      <c r="B104" s="59"/>
    </row>
    <row r="105" spans="2:2" x14ac:dyDescent="0.25">
      <c r="B105" s="59"/>
    </row>
    <row r="106" spans="2:2" x14ac:dyDescent="0.25">
      <c r="B106" s="59"/>
    </row>
    <row r="107" spans="2:2" x14ac:dyDescent="0.25">
      <c r="B107" s="59"/>
    </row>
    <row r="108" spans="2:2" x14ac:dyDescent="0.25">
      <c r="B108" s="59"/>
    </row>
    <row r="109" spans="2:2" x14ac:dyDescent="0.25">
      <c r="B109" s="59"/>
    </row>
    <row r="110" spans="2:2" x14ac:dyDescent="0.25">
      <c r="B110" s="59"/>
    </row>
    <row r="111" spans="2:2" x14ac:dyDescent="0.25">
      <c r="B111" s="59"/>
    </row>
    <row r="112" spans="2:2" x14ac:dyDescent="0.25">
      <c r="B112" s="59"/>
    </row>
    <row r="113" spans="2:2" x14ac:dyDescent="0.25">
      <c r="B113" s="59"/>
    </row>
    <row r="114" spans="2:2" x14ac:dyDescent="0.25">
      <c r="B114" s="59"/>
    </row>
    <row r="115" spans="2:2" x14ac:dyDescent="0.25">
      <c r="B115" s="59"/>
    </row>
  </sheetData>
  <hyperlinks>
    <hyperlink ref="A82" location="Indice!A1" display="Volver al índice" xr:uid="{00000000-0004-0000-0100-000000000000}"/>
  </hyperlinks>
  <pageMargins left="0.7" right="0.7" top="0.75" bottom="0.75" header="0.3" footer="0.3"/>
  <pageSetup orientation="portrait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1:AD216"/>
  <sheetViews>
    <sheetView showGridLines="0" zoomScale="80" zoomScaleNormal="80" workbookViewId="0">
      <pane ySplit="4" topLeftCell="A5" activePane="bottomLeft" state="frozen"/>
      <selection pane="bottomLeft" sqref="A1:O1048576"/>
    </sheetView>
  </sheetViews>
  <sheetFormatPr baseColWidth="10" defaultRowHeight="15" x14ac:dyDescent="0.25"/>
  <cols>
    <col min="1" max="1" width="33.7109375" style="53" customWidth="1"/>
    <col min="2" max="2" width="10.28515625" style="53" customWidth="1"/>
    <col min="3" max="19" width="10.28515625" style="12" customWidth="1"/>
    <col min="20" max="20" width="12.7109375" style="12" hidden="1" customWidth="1"/>
    <col min="21" max="21" width="12.7109375" style="12" customWidth="1"/>
    <col min="22" max="22" width="12.7109375" style="24" customWidth="1"/>
    <col min="23" max="25" width="4.7109375" style="1" customWidth="1"/>
    <col min="26" max="29" width="6.7109375" style="1" customWidth="1"/>
    <col min="30" max="30" width="11.42578125" style="1"/>
    <col min="31" max="16384" width="11.42578125" style="24"/>
  </cols>
  <sheetData>
    <row r="1" spans="1:25" ht="21" x14ac:dyDescent="0.25">
      <c r="A1" s="51" t="s">
        <v>292</v>
      </c>
      <c r="B1" s="51"/>
      <c r="C1" s="42"/>
      <c r="D1" s="42"/>
      <c r="E1" s="42"/>
      <c r="F1" s="42"/>
      <c r="G1" s="42"/>
      <c r="H1" s="10"/>
      <c r="I1" s="10"/>
      <c r="J1" s="10"/>
      <c r="K1" s="10"/>
      <c r="L1" s="10"/>
    </row>
    <row r="2" spans="1:25" ht="15" customHeight="1" x14ac:dyDescent="0.25">
      <c r="A2" s="52"/>
      <c r="B2" s="52"/>
      <c r="C2" s="43"/>
      <c r="D2" s="43"/>
      <c r="E2" s="43"/>
      <c r="F2" s="43"/>
      <c r="G2" s="43"/>
      <c r="H2" s="10"/>
      <c r="I2" s="10"/>
      <c r="J2" s="10"/>
      <c r="K2" s="10"/>
      <c r="L2" s="10"/>
    </row>
    <row r="3" spans="1:25" ht="15" customHeight="1" x14ac:dyDescent="0.25">
      <c r="A3" s="54" t="s">
        <v>111</v>
      </c>
      <c r="H3" s="10"/>
      <c r="I3" s="10"/>
      <c r="J3" s="10"/>
      <c r="K3" s="10"/>
      <c r="L3" s="10"/>
    </row>
    <row r="4" spans="1:25" ht="15" customHeight="1" x14ac:dyDescent="0.25"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25" ht="18" x14ac:dyDescent="0.25">
      <c r="A5" s="55" t="s">
        <v>249</v>
      </c>
      <c r="B5" s="55"/>
      <c r="C5" s="45"/>
      <c r="D5" s="45"/>
      <c r="E5" s="45"/>
      <c r="F5" s="45"/>
      <c r="G5" s="45"/>
      <c r="H5" s="6"/>
      <c r="I5" s="6"/>
      <c r="J5" s="6"/>
      <c r="K5" s="6"/>
      <c r="L5" s="6"/>
      <c r="M5" s="6"/>
      <c r="N5" s="6"/>
      <c r="O5" s="6"/>
      <c r="P5" s="6"/>
      <c r="Q5" s="6"/>
      <c r="R5" s="44"/>
      <c r="S5" s="44"/>
      <c r="T5" s="44"/>
    </row>
    <row r="6" spans="1:25" ht="45" customHeight="1" x14ac:dyDescent="0.25">
      <c r="A6" s="14" t="s">
        <v>83</v>
      </c>
      <c r="B6" s="38">
        <v>2007</v>
      </c>
      <c r="C6" s="38">
        <v>2008</v>
      </c>
      <c r="D6" s="38">
        <v>2009</v>
      </c>
      <c r="E6" s="38">
        <v>2010</v>
      </c>
      <c r="F6" s="38">
        <v>2011</v>
      </c>
      <c r="G6" s="38">
        <v>2012</v>
      </c>
      <c r="H6" s="38">
        <v>2013</v>
      </c>
      <c r="I6" s="38">
        <v>2014</v>
      </c>
      <c r="J6" s="38">
        <v>2015</v>
      </c>
      <c r="K6" s="38">
        <v>2016</v>
      </c>
      <c r="L6" s="38">
        <v>2017</v>
      </c>
      <c r="M6" s="38">
        <v>2018</v>
      </c>
      <c r="N6" s="38">
        <v>2019</v>
      </c>
      <c r="O6" s="38">
        <v>2020</v>
      </c>
      <c r="P6" s="38">
        <v>2021</v>
      </c>
      <c r="Q6" s="38">
        <v>2022</v>
      </c>
      <c r="R6" s="38">
        <v>2023</v>
      </c>
      <c r="S6" s="38">
        <v>2024</v>
      </c>
      <c r="T6" s="39" t="s">
        <v>373</v>
      </c>
      <c r="U6" s="39" t="s">
        <v>374</v>
      </c>
      <c r="V6" s="39" t="s">
        <v>375</v>
      </c>
    </row>
    <row r="7" spans="1:25" x14ac:dyDescent="0.25">
      <c r="A7" s="15" t="s">
        <v>2</v>
      </c>
      <c r="B7" s="16">
        <v>0.57338243029984215</v>
      </c>
      <c r="C7" s="16">
        <v>0.62568364382156894</v>
      </c>
      <c r="D7" s="16">
        <v>0.67077541577380384</v>
      </c>
      <c r="E7" s="16">
        <v>0.63962304846282747</v>
      </c>
      <c r="F7" s="16">
        <v>0.61599207110429055</v>
      </c>
      <c r="G7" s="16">
        <v>0.63396955387511145</v>
      </c>
      <c r="H7" s="16">
        <v>0.6391307070833594</v>
      </c>
      <c r="I7" s="16">
        <v>0.63193502650721245</v>
      </c>
      <c r="J7" s="16">
        <v>0.65588555683711391</v>
      </c>
      <c r="K7" s="16">
        <v>0.66687276724374833</v>
      </c>
      <c r="L7" s="16">
        <v>0.68720600442722746</v>
      </c>
      <c r="M7" s="16">
        <v>0.7043048938934604</v>
      </c>
      <c r="N7" s="41">
        <v>0.6776652749370341</v>
      </c>
      <c r="O7" s="41">
        <v>0.66138092343960075</v>
      </c>
      <c r="P7" s="41">
        <v>0.68902109248242294</v>
      </c>
      <c r="Q7" s="41">
        <v>0.71704403898292668</v>
      </c>
      <c r="R7" s="41">
        <v>0.70959094687908242</v>
      </c>
      <c r="S7" s="41">
        <v>0.70921942692103068</v>
      </c>
      <c r="T7" s="89">
        <f>(S7-J7)*100</f>
        <v>5.3333870083916768</v>
      </c>
      <c r="U7" s="89">
        <f>(S7-O7)*100</f>
        <v>4.7838503481429928</v>
      </c>
      <c r="V7" s="89">
        <f>(S7-R7)*100</f>
        <v>-3.7151995805173588E-2</v>
      </c>
      <c r="W7" s="146"/>
      <c r="X7" s="147"/>
      <c r="Y7" s="147"/>
    </row>
    <row r="8" spans="1:25" x14ac:dyDescent="0.25">
      <c r="A8" s="15" t="s">
        <v>3</v>
      </c>
      <c r="B8" s="16">
        <v>0.57332552235891432</v>
      </c>
      <c r="C8" s="16">
        <v>0.62948123785319177</v>
      </c>
      <c r="D8" s="16">
        <v>0.64158851038818332</v>
      </c>
      <c r="E8" s="16">
        <v>0.64470485160442448</v>
      </c>
      <c r="F8" s="16">
        <v>0.64074570894243665</v>
      </c>
      <c r="G8" s="16">
        <v>0.64525364092239779</v>
      </c>
      <c r="H8" s="16">
        <v>0.66088429885428435</v>
      </c>
      <c r="I8" s="16">
        <v>0.67389038720096739</v>
      </c>
      <c r="J8" s="16">
        <v>0.67539280011252412</v>
      </c>
      <c r="K8" s="16">
        <v>0.68481568314461017</v>
      </c>
      <c r="L8" s="16">
        <v>0.70821039955270737</v>
      </c>
      <c r="M8" s="16">
        <v>0.72223829541006479</v>
      </c>
      <c r="N8" s="41">
        <v>0.6931495299523629</v>
      </c>
      <c r="O8" s="41">
        <v>0.6879956504621384</v>
      </c>
      <c r="P8" s="41">
        <v>0.70536467751657628</v>
      </c>
      <c r="Q8" s="41">
        <v>0.72033145190344661</v>
      </c>
      <c r="R8" s="41">
        <v>0.721774009407395</v>
      </c>
      <c r="S8" s="41">
        <v>0.7275282683267692</v>
      </c>
      <c r="T8" s="89">
        <f t="shared" ref="T8:T10" si="0">(S8-J8)*100</f>
        <v>5.213546821424508</v>
      </c>
      <c r="U8" s="89">
        <f t="shared" ref="U8:U10" si="1">(S8-O8)*100</f>
        <v>3.9532617864630804</v>
      </c>
      <c r="V8" s="89">
        <f t="shared" ref="V8:V10" si="2">(S8-R8)*100</f>
        <v>0.57542589193742</v>
      </c>
      <c r="W8" s="146"/>
      <c r="X8" s="147"/>
      <c r="Y8" s="147"/>
    </row>
    <row r="9" spans="1:25" x14ac:dyDescent="0.25">
      <c r="A9" s="15" t="s">
        <v>4</v>
      </c>
      <c r="B9" s="16">
        <v>0.74646289375333685</v>
      </c>
      <c r="C9" s="16">
        <v>0.74963747863351726</v>
      </c>
      <c r="D9" s="16">
        <v>0.76462797157280493</v>
      </c>
      <c r="E9" s="16">
        <v>0.78328907697839734</v>
      </c>
      <c r="F9" s="16">
        <v>0.74490335064810309</v>
      </c>
      <c r="G9" s="16">
        <v>0.74557350235125741</v>
      </c>
      <c r="H9" s="16">
        <v>0.74931480655236149</v>
      </c>
      <c r="I9" s="16">
        <v>0.76204896201977457</v>
      </c>
      <c r="J9" s="16">
        <v>0.76845323923455378</v>
      </c>
      <c r="K9" s="16">
        <v>0.77914238569668104</v>
      </c>
      <c r="L9" s="16">
        <v>0.78736286666147959</v>
      </c>
      <c r="M9" s="16">
        <v>0.78895438417935349</v>
      </c>
      <c r="N9" s="41">
        <v>0.79652944646685564</v>
      </c>
      <c r="O9" s="41">
        <v>0.85034322128356299</v>
      </c>
      <c r="P9" s="41">
        <v>0.83126862410107671</v>
      </c>
      <c r="Q9" s="41">
        <v>0.81614614024749554</v>
      </c>
      <c r="R9" s="41">
        <v>0.82641480796694011</v>
      </c>
      <c r="S9" s="41">
        <v>0.83978909896900289</v>
      </c>
      <c r="T9" s="89">
        <f t="shared" si="0"/>
        <v>7.1335859734449114</v>
      </c>
      <c r="U9" s="89">
        <f t="shared" si="1"/>
        <v>-1.0554122314560099</v>
      </c>
      <c r="V9" s="89">
        <f t="shared" si="2"/>
        <v>1.3374291002062777</v>
      </c>
      <c r="W9" s="146"/>
      <c r="X9" s="147"/>
      <c r="Y9" s="147"/>
    </row>
    <row r="10" spans="1:25" x14ac:dyDescent="0.25">
      <c r="A10" s="17" t="s">
        <v>1</v>
      </c>
      <c r="B10" s="18">
        <v>0.66658579105335991</v>
      </c>
      <c r="C10" s="18">
        <v>0.6912781111500006</v>
      </c>
      <c r="D10" s="18">
        <v>0.70922233792689326</v>
      </c>
      <c r="E10" s="18">
        <v>0.7113320616485761</v>
      </c>
      <c r="F10" s="18">
        <v>0.6846562721474132</v>
      </c>
      <c r="G10" s="18">
        <v>0.68973220651564271</v>
      </c>
      <c r="H10" s="18">
        <v>0.69461321726761271</v>
      </c>
      <c r="I10" s="18">
        <v>0.7024570399536062</v>
      </c>
      <c r="J10" s="18">
        <v>0.71157616916382926</v>
      </c>
      <c r="K10" s="18">
        <v>0.72363000835048441</v>
      </c>
      <c r="L10" s="18">
        <v>0.73983376445526472</v>
      </c>
      <c r="M10" s="18">
        <v>0.74877261002307971</v>
      </c>
      <c r="N10" s="152">
        <v>0.73562169704699432</v>
      </c>
      <c r="O10" s="152">
        <v>0.75559151532642077</v>
      </c>
      <c r="P10" s="152">
        <v>0.75558506614668253</v>
      </c>
      <c r="Q10" s="152">
        <v>0.75949903510144479</v>
      </c>
      <c r="R10" s="152">
        <v>0.76487132988940454</v>
      </c>
      <c r="S10" s="152">
        <v>0.77306330481553465</v>
      </c>
      <c r="T10" s="90">
        <f t="shared" si="0"/>
        <v>6.1487135651705387</v>
      </c>
      <c r="U10" s="90">
        <f t="shared" si="1"/>
        <v>1.7471789489113876</v>
      </c>
      <c r="V10" s="90">
        <f t="shared" si="2"/>
        <v>0.81919749261301078</v>
      </c>
      <c r="W10" s="146"/>
      <c r="X10" s="147"/>
      <c r="Y10" s="147"/>
    </row>
    <row r="11" spans="1:25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111"/>
      <c r="N11" s="111"/>
      <c r="O11" s="111"/>
      <c r="P11" s="111"/>
      <c r="Q11" s="111"/>
      <c r="R11" s="111"/>
      <c r="S11" s="111"/>
      <c r="T11" s="111"/>
      <c r="U11" s="110"/>
    </row>
    <row r="12" spans="1:25" ht="18" x14ac:dyDescent="0.25">
      <c r="A12" s="56" t="s">
        <v>253</v>
      </c>
      <c r="B12" s="56"/>
      <c r="C12" s="46"/>
      <c r="D12" s="46"/>
      <c r="E12" s="46"/>
      <c r="F12" s="46"/>
      <c r="G12" s="46"/>
      <c r="H12" s="6"/>
      <c r="I12" s="6"/>
      <c r="J12" s="6"/>
      <c r="K12" s="6"/>
      <c r="L12" s="6"/>
      <c r="M12" s="111"/>
      <c r="N12" s="111"/>
      <c r="O12" s="111"/>
      <c r="P12" s="111"/>
      <c r="Q12" s="111"/>
      <c r="R12" s="111"/>
      <c r="S12" s="111"/>
      <c r="T12" s="111"/>
    </row>
    <row r="13" spans="1:25" ht="45" customHeight="1" x14ac:dyDescent="0.25">
      <c r="A13" s="14" t="s">
        <v>106</v>
      </c>
      <c r="B13" s="38">
        <v>2007</v>
      </c>
      <c r="C13" s="38">
        <v>2008</v>
      </c>
      <c r="D13" s="38">
        <v>2009</v>
      </c>
      <c r="E13" s="38">
        <v>2010</v>
      </c>
      <c r="F13" s="38">
        <v>2011</v>
      </c>
      <c r="G13" s="38">
        <v>2012</v>
      </c>
      <c r="H13" s="38">
        <v>2013</v>
      </c>
      <c r="I13" s="38">
        <v>2014</v>
      </c>
      <c r="J13" s="38">
        <v>2015</v>
      </c>
      <c r="K13" s="38">
        <v>2016</v>
      </c>
      <c r="L13" s="38">
        <v>2017</v>
      </c>
      <c r="M13" s="38">
        <v>2018</v>
      </c>
      <c r="N13" s="38">
        <v>2019</v>
      </c>
      <c r="O13" s="38">
        <v>2020</v>
      </c>
      <c r="P13" s="38">
        <v>2021</v>
      </c>
      <c r="Q13" s="38">
        <v>2022</v>
      </c>
      <c r="R13" s="38">
        <v>2023</v>
      </c>
      <c r="S13" s="38">
        <v>2024</v>
      </c>
      <c r="T13" s="39" t="s">
        <v>373</v>
      </c>
      <c r="U13" s="39" t="s">
        <v>374</v>
      </c>
      <c r="V13" s="39" t="s">
        <v>375</v>
      </c>
    </row>
    <row r="14" spans="1:25" x14ac:dyDescent="0.25">
      <c r="A14" s="15" t="s">
        <v>2</v>
      </c>
      <c r="B14" s="16">
        <v>0.57338243029984215</v>
      </c>
      <c r="C14" s="16">
        <v>0.62568364382156894</v>
      </c>
      <c r="D14" s="16">
        <v>0.67077541577380384</v>
      </c>
      <c r="E14" s="16">
        <v>0.63962304846282747</v>
      </c>
      <c r="F14" s="16">
        <v>0.61599207110429055</v>
      </c>
      <c r="G14" s="16">
        <v>0.63396955387511145</v>
      </c>
      <c r="H14" s="16">
        <v>0.6391307070833594</v>
      </c>
      <c r="I14" s="16">
        <v>0.63193502650721245</v>
      </c>
      <c r="J14" s="16">
        <v>0.65588555683711391</v>
      </c>
      <c r="K14" s="16">
        <v>0.66687276724374833</v>
      </c>
      <c r="L14" s="16">
        <v>0.68720600442722746</v>
      </c>
      <c r="M14" s="41">
        <v>0.70441268516586686</v>
      </c>
      <c r="N14" s="41">
        <v>0.67809523809523808</v>
      </c>
      <c r="O14" s="41">
        <v>0.66210449425243167</v>
      </c>
      <c r="P14" s="41">
        <v>0.69178594010461569</v>
      </c>
      <c r="Q14" s="41">
        <v>0.71939373472914725</v>
      </c>
      <c r="R14" s="41">
        <v>0.71132883097117849</v>
      </c>
      <c r="S14" s="41">
        <v>0.71302367313134096</v>
      </c>
      <c r="T14" s="89">
        <f>(S14-J14)*100</f>
        <v>5.7138116294227048</v>
      </c>
      <c r="U14" s="89">
        <f>(S14-O14)*100</f>
        <v>5.0919178878909293</v>
      </c>
      <c r="V14" s="89">
        <f>(S14-R14)*100</f>
        <v>0.16948421601624686</v>
      </c>
      <c r="W14" s="146"/>
      <c r="X14" s="147"/>
      <c r="Y14" s="147"/>
    </row>
    <row r="15" spans="1:25" x14ac:dyDescent="0.25">
      <c r="A15" s="15" t="s">
        <v>216</v>
      </c>
      <c r="B15" s="41" t="s">
        <v>62</v>
      </c>
      <c r="C15" s="41" t="s">
        <v>62</v>
      </c>
      <c r="D15" s="41" t="s">
        <v>62</v>
      </c>
      <c r="E15" s="41" t="s">
        <v>62</v>
      </c>
      <c r="F15" s="41" t="s">
        <v>62</v>
      </c>
      <c r="G15" s="41" t="s">
        <v>62</v>
      </c>
      <c r="H15" s="41" t="s">
        <v>62</v>
      </c>
      <c r="I15" s="41" t="s">
        <v>62</v>
      </c>
      <c r="J15" s="41" t="s">
        <v>62</v>
      </c>
      <c r="K15" s="41" t="s">
        <v>62</v>
      </c>
      <c r="L15" s="41" t="s">
        <v>62</v>
      </c>
      <c r="M15" s="41">
        <v>0.67464114832535882</v>
      </c>
      <c r="N15" s="41">
        <v>0.64932126696832582</v>
      </c>
      <c r="O15" s="41">
        <v>0.64483516483516479</v>
      </c>
      <c r="P15" s="41">
        <v>0.64501372369624888</v>
      </c>
      <c r="Q15" s="41">
        <v>0.68919237108547204</v>
      </c>
      <c r="R15" s="41">
        <v>0.69526348808030114</v>
      </c>
      <c r="S15" s="41">
        <v>0.68105760633541956</v>
      </c>
      <c r="T15" s="89" t="s">
        <v>62</v>
      </c>
      <c r="U15" s="89">
        <f t="shared" ref="U15:U20" si="3">(S15-O15)*100</f>
        <v>3.6222441500254776</v>
      </c>
      <c r="V15" s="89">
        <f t="shared" ref="V15:V20" si="4">(S15-R15)*100</f>
        <v>-1.4205881744881577</v>
      </c>
      <c r="W15" s="146"/>
      <c r="X15" s="147"/>
      <c r="Y15" s="147"/>
    </row>
    <row r="16" spans="1:25" x14ac:dyDescent="0.25">
      <c r="A16" s="15" t="s">
        <v>3</v>
      </c>
      <c r="B16" s="16">
        <v>0.57332552235891432</v>
      </c>
      <c r="C16" s="16">
        <v>0.62948123785319177</v>
      </c>
      <c r="D16" s="16">
        <v>0.64158851038818332</v>
      </c>
      <c r="E16" s="16">
        <v>0.64470485160442448</v>
      </c>
      <c r="F16" s="16">
        <v>0.64074570894243665</v>
      </c>
      <c r="G16" s="16">
        <v>0.64525364092239779</v>
      </c>
      <c r="H16" s="16">
        <v>0.66088429885428435</v>
      </c>
      <c r="I16" s="16">
        <v>0.67389038720096739</v>
      </c>
      <c r="J16" s="16">
        <v>0.67539280011252412</v>
      </c>
      <c r="K16" s="16">
        <v>0.68481568314461017</v>
      </c>
      <c r="L16" s="16">
        <v>0.70821039955270737</v>
      </c>
      <c r="M16" s="41">
        <v>0.72223829541006479</v>
      </c>
      <c r="N16" s="41">
        <v>0.6931495299523629</v>
      </c>
      <c r="O16" s="41">
        <v>0.6879956504621384</v>
      </c>
      <c r="P16" s="41">
        <v>0.70536467751657628</v>
      </c>
      <c r="Q16" s="41">
        <v>0.72033145190344661</v>
      </c>
      <c r="R16" s="41">
        <v>0.721774009407395</v>
      </c>
      <c r="S16" s="41">
        <v>0.7275282683267692</v>
      </c>
      <c r="T16" s="89">
        <f t="shared" ref="T16:T20" si="5">(S16-J16)*100</f>
        <v>5.213546821424508</v>
      </c>
      <c r="U16" s="89">
        <f t="shared" si="3"/>
        <v>3.9532617864630804</v>
      </c>
      <c r="V16" s="89">
        <f t="shared" si="4"/>
        <v>0.57542589193742</v>
      </c>
      <c r="W16" s="146"/>
      <c r="X16" s="147"/>
      <c r="Y16" s="147"/>
    </row>
    <row r="17" spans="1:25" x14ac:dyDescent="0.25">
      <c r="A17" s="15" t="s">
        <v>84</v>
      </c>
      <c r="B17" s="16">
        <v>0.78023525270599281</v>
      </c>
      <c r="C17" s="16">
        <v>0.79246605902224487</v>
      </c>
      <c r="D17" s="16">
        <v>0.80061158262606091</v>
      </c>
      <c r="E17" s="16">
        <v>0.79778169750964156</v>
      </c>
      <c r="F17" s="16">
        <v>0.75703971119133573</v>
      </c>
      <c r="G17" s="16">
        <v>0.79283790114780983</v>
      </c>
      <c r="H17" s="16">
        <v>0.77018990984078262</v>
      </c>
      <c r="I17" s="16">
        <v>0.77770876093766883</v>
      </c>
      <c r="J17" s="16">
        <v>0.77356893721789088</v>
      </c>
      <c r="K17" s="16">
        <v>0.79705167097049168</v>
      </c>
      <c r="L17" s="16">
        <v>0.80823514820786313</v>
      </c>
      <c r="M17" s="41">
        <v>0.79633633490935873</v>
      </c>
      <c r="N17" s="41">
        <v>0.79671914727166049</v>
      </c>
      <c r="O17" s="41">
        <v>0.8657987495819075</v>
      </c>
      <c r="P17" s="41">
        <v>0.83406860041910225</v>
      </c>
      <c r="Q17" s="41">
        <v>0.81248061359727042</v>
      </c>
      <c r="R17" s="41">
        <v>0.8198380068440877</v>
      </c>
      <c r="S17" s="41">
        <v>0.82908379051163694</v>
      </c>
      <c r="T17" s="90">
        <f t="shared" si="5"/>
        <v>5.5514853293746054</v>
      </c>
      <c r="U17" s="90">
        <f t="shared" si="3"/>
        <v>-3.6714959070270559</v>
      </c>
      <c r="V17" s="90">
        <f t="shared" si="4"/>
        <v>0.92457836675492455</v>
      </c>
      <c r="W17" s="146"/>
      <c r="X17" s="147"/>
      <c r="Y17" s="147"/>
    </row>
    <row r="18" spans="1:25" x14ac:dyDescent="0.25">
      <c r="A18" s="15" t="s">
        <v>85</v>
      </c>
      <c r="B18" s="16">
        <v>0.84041372575132067</v>
      </c>
      <c r="C18" s="16">
        <v>0.82062256809338519</v>
      </c>
      <c r="D18" s="16">
        <v>0.82632069082289195</v>
      </c>
      <c r="E18" s="16">
        <v>0.83856622580026841</v>
      </c>
      <c r="F18" s="16">
        <v>0.78494623655913975</v>
      </c>
      <c r="G18" s="16">
        <v>0.81065310092017651</v>
      </c>
      <c r="H18" s="16">
        <v>0.81233234378911978</v>
      </c>
      <c r="I18" s="16">
        <v>0.82247887926424978</v>
      </c>
      <c r="J18" s="16">
        <v>0.81803403431101274</v>
      </c>
      <c r="K18" s="16">
        <v>0.82170260616483659</v>
      </c>
      <c r="L18" s="16">
        <v>0.834798353909465</v>
      </c>
      <c r="M18" s="41">
        <v>0.82143191389798786</v>
      </c>
      <c r="N18" s="41">
        <v>0.83672817317677128</v>
      </c>
      <c r="O18" s="41">
        <v>0.87295488996916004</v>
      </c>
      <c r="P18" s="41">
        <v>0.85849613492621224</v>
      </c>
      <c r="Q18" s="41">
        <v>0.83630602824287781</v>
      </c>
      <c r="R18" s="41">
        <v>0.84589925532181631</v>
      </c>
      <c r="S18" s="41">
        <v>0.85310413410995878</v>
      </c>
      <c r="T18" s="89">
        <f t="shared" si="5"/>
        <v>3.5070099798946042</v>
      </c>
      <c r="U18" s="89">
        <f t="shared" si="3"/>
        <v>-1.9850755859201263</v>
      </c>
      <c r="V18" s="89">
        <f t="shared" si="4"/>
        <v>0.72048787881424659</v>
      </c>
      <c r="W18" s="146"/>
      <c r="X18" s="147"/>
      <c r="Y18" s="147"/>
    </row>
    <row r="19" spans="1:25" x14ac:dyDescent="0.25">
      <c r="A19" s="15" t="s">
        <v>254</v>
      </c>
      <c r="B19" s="16">
        <v>0.6948019097606476</v>
      </c>
      <c r="C19" s="16">
        <v>0.70632353154512351</v>
      </c>
      <c r="D19" s="16">
        <v>0.73048198286573807</v>
      </c>
      <c r="E19" s="16">
        <v>0.76064317449869534</v>
      </c>
      <c r="F19" s="16">
        <v>0.72835862196190559</v>
      </c>
      <c r="G19" s="16">
        <v>0.70650249289408695</v>
      </c>
      <c r="H19" s="16">
        <v>0.71643366210212245</v>
      </c>
      <c r="I19" s="16">
        <v>0.73043466177533212</v>
      </c>
      <c r="J19" s="16">
        <v>0.74516096823427047</v>
      </c>
      <c r="K19" s="16">
        <v>0.75191815856777489</v>
      </c>
      <c r="L19" s="16">
        <v>0.75507519062911144</v>
      </c>
      <c r="M19" s="41">
        <v>0.76888123310860979</v>
      </c>
      <c r="N19" s="41">
        <v>0.77146208104134661</v>
      </c>
      <c r="O19" s="41">
        <v>0.82266530720138964</v>
      </c>
      <c r="P19" s="41">
        <v>0.81145142772489909</v>
      </c>
      <c r="Q19" s="41">
        <v>0.80513034184163335</v>
      </c>
      <c r="R19" s="41">
        <v>0.81850202491970148</v>
      </c>
      <c r="S19" s="41">
        <v>0.83795998406716299</v>
      </c>
      <c r="T19" s="89">
        <f t="shared" si="5"/>
        <v>9.2799015832892522</v>
      </c>
      <c r="U19" s="89">
        <f t="shared" si="3"/>
        <v>1.5294676865773349</v>
      </c>
      <c r="V19" s="89">
        <f t="shared" si="4"/>
        <v>1.9457959147461512</v>
      </c>
      <c r="W19" s="146"/>
      <c r="X19" s="147"/>
      <c r="Y19" s="147"/>
    </row>
    <row r="20" spans="1:25" x14ac:dyDescent="0.25">
      <c r="A20" s="17" t="s">
        <v>1</v>
      </c>
      <c r="B20" s="18">
        <v>0.66658579105335991</v>
      </c>
      <c r="C20" s="18">
        <v>0.6912781111500006</v>
      </c>
      <c r="D20" s="18">
        <v>0.70922233792689326</v>
      </c>
      <c r="E20" s="18">
        <v>0.7113320616485761</v>
      </c>
      <c r="F20" s="18">
        <v>0.6846562721474132</v>
      </c>
      <c r="G20" s="18">
        <v>0.68973220651564271</v>
      </c>
      <c r="H20" s="18">
        <v>0.69461321726761271</v>
      </c>
      <c r="I20" s="18">
        <v>0.7024570399536062</v>
      </c>
      <c r="J20" s="18">
        <v>0.71157616916382926</v>
      </c>
      <c r="K20" s="18">
        <v>0.72363000835048441</v>
      </c>
      <c r="L20" s="18">
        <v>0.73983376445526472</v>
      </c>
      <c r="M20" s="61">
        <v>0.74877261002307971</v>
      </c>
      <c r="N20" s="61">
        <v>0.73562169704699432</v>
      </c>
      <c r="O20" s="61">
        <v>0.75559151532642077</v>
      </c>
      <c r="P20" s="61">
        <v>0.75558506614668253</v>
      </c>
      <c r="Q20" s="61">
        <v>0.75949903510144479</v>
      </c>
      <c r="R20" s="61">
        <v>0.76487132988940454</v>
      </c>
      <c r="S20" s="61">
        <v>0.77306330481553465</v>
      </c>
      <c r="T20" s="90">
        <f t="shared" si="5"/>
        <v>6.1487135651705387</v>
      </c>
      <c r="U20" s="90">
        <f t="shared" si="3"/>
        <v>1.7471789489113876</v>
      </c>
      <c r="V20" s="90">
        <f t="shared" si="4"/>
        <v>0.81919749261301078</v>
      </c>
      <c r="W20" s="146"/>
      <c r="X20" s="147"/>
      <c r="Y20" s="147"/>
    </row>
    <row r="21" spans="1:25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98"/>
      <c r="N21" s="98"/>
      <c r="O21" s="98"/>
      <c r="P21" s="98"/>
      <c r="Q21" s="98"/>
      <c r="R21" s="115"/>
      <c r="S21" s="115"/>
      <c r="T21" s="116"/>
      <c r="U21" s="116"/>
      <c r="W21" s="146"/>
      <c r="X21" s="147"/>
      <c r="Y21" s="147"/>
    </row>
    <row r="22" spans="1:25" ht="18" x14ac:dyDescent="0.25">
      <c r="A22" s="56" t="s">
        <v>255</v>
      </c>
      <c r="B22" s="56"/>
      <c r="C22" s="46"/>
      <c r="D22" s="46"/>
      <c r="E22" s="46"/>
      <c r="F22" s="46"/>
      <c r="G22" s="4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25" ht="45" customHeight="1" x14ac:dyDescent="0.25">
      <c r="A23" s="14" t="s">
        <v>57</v>
      </c>
      <c r="B23" s="38">
        <v>2007</v>
      </c>
      <c r="C23" s="38">
        <v>2008</v>
      </c>
      <c r="D23" s="38">
        <v>2009</v>
      </c>
      <c r="E23" s="38">
        <v>2010</v>
      </c>
      <c r="F23" s="38">
        <v>2011</v>
      </c>
      <c r="G23" s="38">
        <v>2012</v>
      </c>
      <c r="H23" s="38">
        <v>2013</v>
      </c>
      <c r="I23" s="38">
        <v>2014</v>
      </c>
      <c r="J23" s="38">
        <v>2015</v>
      </c>
      <c r="K23" s="38">
        <v>2016</v>
      </c>
      <c r="L23" s="38">
        <v>2017</v>
      </c>
      <c r="M23" s="38">
        <v>2018</v>
      </c>
      <c r="N23" s="38">
        <v>2019</v>
      </c>
      <c r="O23" s="38">
        <v>2020</v>
      </c>
      <c r="P23" s="38">
        <v>2021</v>
      </c>
      <c r="Q23" s="38">
        <v>2022</v>
      </c>
      <c r="R23" s="38">
        <v>2023</v>
      </c>
      <c r="S23" s="38">
        <v>2024</v>
      </c>
      <c r="T23" s="39" t="s">
        <v>373</v>
      </c>
      <c r="U23" s="39" t="s">
        <v>374</v>
      </c>
      <c r="V23" s="39" t="s">
        <v>375</v>
      </c>
    </row>
    <row r="24" spans="1:25" x14ac:dyDescent="0.25">
      <c r="A24" s="15" t="s">
        <v>63</v>
      </c>
      <c r="B24" s="16">
        <v>0.56359267896261744</v>
      </c>
      <c r="C24" s="16">
        <v>0.62715286562226336</v>
      </c>
      <c r="D24" s="16">
        <v>0.65399896355156328</v>
      </c>
      <c r="E24" s="16">
        <v>0.6437828788020431</v>
      </c>
      <c r="F24" s="16">
        <v>0.62677259919626771</v>
      </c>
      <c r="G24" s="16">
        <v>0.63399169525185051</v>
      </c>
      <c r="H24" s="16">
        <v>0.64531443193313986</v>
      </c>
      <c r="I24" s="16">
        <v>0.65034767115004855</v>
      </c>
      <c r="J24" s="16">
        <v>0.66092565029413852</v>
      </c>
      <c r="K24" s="16">
        <v>0.67431765515122777</v>
      </c>
      <c r="L24" s="16">
        <v>0.69195924558620836</v>
      </c>
      <c r="M24" s="16">
        <v>0.70279921425564751</v>
      </c>
      <c r="N24" s="16">
        <v>0.67145687737394399</v>
      </c>
      <c r="O24" s="16">
        <v>0.66058042970234576</v>
      </c>
      <c r="P24" s="16">
        <v>0.68610644081645478</v>
      </c>
      <c r="Q24" s="16">
        <v>0.69892332739448304</v>
      </c>
      <c r="R24" s="16">
        <v>0.69739338104703097</v>
      </c>
      <c r="S24" s="16">
        <v>0.70137921533209857</v>
      </c>
      <c r="T24" s="89">
        <f t="shared" ref="T24:T29" si="6">(S24-J24)*100</f>
        <v>4.0453565037960049</v>
      </c>
      <c r="U24" s="89">
        <f t="shared" ref="U24:U29" si="7">(S24-O24)*100</f>
        <v>4.0798785629752814</v>
      </c>
      <c r="V24" s="89">
        <f t="shared" ref="V24:V29" si="8">(S24-R24)*100</f>
        <v>0.39858342850676021</v>
      </c>
      <c r="W24" s="146"/>
      <c r="X24" s="147"/>
      <c r="Y24" s="147"/>
    </row>
    <row r="25" spans="1:25" x14ac:dyDescent="0.25">
      <c r="A25" s="15" t="s">
        <v>322</v>
      </c>
      <c r="B25" s="16">
        <v>0.5929002210632498</v>
      </c>
      <c r="C25" s="16">
        <v>0.62083196136538255</v>
      </c>
      <c r="D25" s="16">
        <v>0.64216326530612244</v>
      </c>
      <c r="E25" s="16">
        <v>0.65721884357157467</v>
      </c>
      <c r="F25" s="16">
        <v>0.64394401612217356</v>
      </c>
      <c r="G25" s="16">
        <v>0.66945940963189055</v>
      </c>
      <c r="H25" s="16">
        <v>0.67125411563855553</v>
      </c>
      <c r="I25" s="16">
        <v>0.68616468842729972</v>
      </c>
      <c r="J25" s="16">
        <v>0.69496162829496166</v>
      </c>
      <c r="K25" s="16">
        <v>0.70653814103285961</v>
      </c>
      <c r="L25" s="16">
        <v>0.7237558149741069</v>
      </c>
      <c r="M25" s="16">
        <v>0.74805130017252486</v>
      </c>
      <c r="N25" s="16">
        <v>0.73370441760748983</v>
      </c>
      <c r="O25" s="16">
        <v>0.73473662380754878</v>
      </c>
      <c r="P25" s="16">
        <v>0.73514934556438083</v>
      </c>
      <c r="Q25" s="16">
        <v>0.7582165605095541</v>
      </c>
      <c r="R25" s="16">
        <v>0.75537388013364481</v>
      </c>
      <c r="S25" s="16">
        <v>0.75455361084606731</v>
      </c>
      <c r="T25" s="89">
        <f t="shared" si="6"/>
        <v>5.9591982551105644</v>
      </c>
      <c r="U25" s="89">
        <f t="shared" si="7"/>
        <v>1.981698703851853</v>
      </c>
      <c r="V25" s="89">
        <f t="shared" si="8"/>
        <v>-8.2026928757750195E-2</v>
      </c>
      <c r="W25" s="146"/>
      <c r="X25" s="147"/>
      <c r="Y25" s="147"/>
    </row>
    <row r="26" spans="1:25" x14ac:dyDescent="0.25">
      <c r="A26" s="15" t="s">
        <v>110</v>
      </c>
      <c r="B26" s="16">
        <v>0.69848399775407077</v>
      </c>
      <c r="C26" s="16">
        <v>0.65879543645529315</v>
      </c>
      <c r="D26" s="16">
        <v>0.65745007680491552</v>
      </c>
      <c r="E26" s="16">
        <v>0.6961606915840326</v>
      </c>
      <c r="F26" s="16">
        <v>0.52826279964486533</v>
      </c>
      <c r="G26" s="16">
        <v>0.62315193457061968</v>
      </c>
      <c r="H26" s="16">
        <v>0.63973436635307135</v>
      </c>
      <c r="I26" s="16">
        <v>0.6712218649517685</v>
      </c>
      <c r="J26" s="16">
        <v>0.65925292272597658</v>
      </c>
      <c r="K26" s="16">
        <v>0.65348399246704336</v>
      </c>
      <c r="L26" s="16">
        <v>0.69165813715455471</v>
      </c>
      <c r="M26" s="16">
        <v>0.70142743854084055</v>
      </c>
      <c r="N26" s="16">
        <v>0.7387373096446701</v>
      </c>
      <c r="O26" s="16">
        <v>0.78110289172831204</v>
      </c>
      <c r="P26" s="16">
        <v>0.7374476987447699</v>
      </c>
      <c r="Q26" s="16">
        <v>0.74032957502168262</v>
      </c>
      <c r="R26" s="16">
        <v>0.73961038961038961</v>
      </c>
      <c r="S26" s="16">
        <v>0.74607454401268836</v>
      </c>
      <c r="T26" s="89">
        <f t="shared" si="6"/>
        <v>8.6821621286711785</v>
      </c>
      <c r="U26" s="89">
        <f t="shared" si="7"/>
        <v>-3.5028347715623687</v>
      </c>
      <c r="V26" s="89">
        <f t="shared" si="8"/>
        <v>0.64641544022987496</v>
      </c>
      <c r="W26" s="146"/>
      <c r="X26" s="147"/>
      <c r="Y26" s="147"/>
    </row>
    <row r="27" spans="1:25" x14ac:dyDescent="0.25">
      <c r="A27" s="15" t="s">
        <v>86</v>
      </c>
      <c r="B27" s="16">
        <v>0.76213592233009708</v>
      </c>
      <c r="C27" s="16">
        <v>0.72930232558139529</v>
      </c>
      <c r="D27" s="16">
        <v>0.75432372505543233</v>
      </c>
      <c r="E27" s="16">
        <v>0.7325776658270361</v>
      </c>
      <c r="F27" s="16">
        <v>0.71812702828001851</v>
      </c>
      <c r="G27" s="16">
        <v>0.68841201716738198</v>
      </c>
      <c r="H27" s="16">
        <v>0.70986622073578598</v>
      </c>
      <c r="I27" s="16">
        <v>0.71955719557195574</v>
      </c>
      <c r="J27" s="16">
        <v>0.7120500782472613</v>
      </c>
      <c r="K27" s="16">
        <v>0.70622342481638967</v>
      </c>
      <c r="L27" s="16">
        <v>0.76382411725516319</v>
      </c>
      <c r="M27" s="16">
        <v>0.77641385357299431</v>
      </c>
      <c r="N27" s="16">
        <v>0.74894692502106153</v>
      </c>
      <c r="O27" s="16">
        <v>0.81977471839799754</v>
      </c>
      <c r="P27" s="16">
        <v>0.80494037478705283</v>
      </c>
      <c r="Q27" s="16">
        <v>0.7855719410123555</v>
      </c>
      <c r="R27" s="16">
        <v>0.80335474660956463</v>
      </c>
      <c r="S27" s="16">
        <v>0.81092586023412561</v>
      </c>
      <c r="T27" s="89">
        <f t="shared" si="6"/>
        <v>9.8875781986864304</v>
      </c>
      <c r="U27" s="89">
        <f t="shared" si="7"/>
        <v>-0.8848858163871931</v>
      </c>
      <c r="V27" s="89">
        <f t="shared" si="8"/>
        <v>0.75711136245609767</v>
      </c>
      <c r="W27" s="146"/>
      <c r="X27" s="147"/>
      <c r="Y27" s="147"/>
    </row>
    <row r="28" spans="1:25" x14ac:dyDescent="0.25">
      <c r="A28" s="15" t="s">
        <v>326</v>
      </c>
      <c r="B28" s="16">
        <v>0.77112931138568042</v>
      </c>
      <c r="C28" s="16">
        <v>0.77365658440390916</v>
      </c>
      <c r="D28" s="16">
        <v>0.78819124943617502</v>
      </c>
      <c r="E28" s="16">
        <v>0.80307993651008069</v>
      </c>
      <c r="F28" s="16">
        <v>0.7688312117978876</v>
      </c>
      <c r="G28" s="16">
        <v>0.76240857482610891</v>
      </c>
      <c r="H28" s="16">
        <v>0.77295184462963129</v>
      </c>
      <c r="I28" s="16">
        <v>0.78324529783361285</v>
      </c>
      <c r="J28" s="16">
        <v>0.78795804694085037</v>
      </c>
      <c r="K28" s="16">
        <v>0.79305782679080628</v>
      </c>
      <c r="L28" s="16">
        <v>0.80527332057303302</v>
      </c>
      <c r="M28" s="16">
        <v>0.80572607469159196</v>
      </c>
      <c r="N28" s="16">
        <v>0.8123940975622217</v>
      </c>
      <c r="O28" s="16">
        <v>0.86791959146110398</v>
      </c>
      <c r="P28" s="16">
        <v>0.84712988150675461</v>
      </c>
      <c r="Q28" s="16">
        <v>0.83270111422904303</v>
      </c>
      <c r="R28" s="16">
        <v>0.84099560761347003</v>
      </c>
      <c r="S28" s="16">
        <v>0.85520905910006206</v>
      </c>
      <c r="T28" s="89">
        <f t="shared" si="6"/>
        <v>6.7251012159211694</v>
      </c>
      <c r="U28" s="89">
        <f t="shared" si="7"/>
        <v>-1.2710532361041915</v>
      </c>
      <c r="V28" s="89">
        <f t="shared" si="8"/>
        <v>1.4213451486592033</v>
      </c>
      <c r="W28" s="146"/>
      <c r="X28" s="147"/>
      <c r="Y28" s="147"/>
    </row>
    <row r="29" spans="1:25" x14ac:dyDescent="0.25">
      <c r="A29" s="17" t="s">
        <v>1</v>
      </c>
      <c r="B29" s="18">
        <v>0.66658579105335991</v>
      </c>
      <c r="C29" s="18">
        <v>0.6912781111500006</v>
      </c>
      <c r="D29" s="18">
        <v>0.70922233792689326</v>
      </c>
      <c r="E29" s="18">
        <v>0.7113320616485761</v>
      </c>
      <c r="F29" s="18">
        <v>0.6846562721474132</v>
      </c>
      <c r="G29" s="18">
        <v>0.68973220651564271</v>
      </c>
      <c r="H29" s="18">
        <v>0.69461321726761271</v>
      </c>
      <c r="I29" s="18">
        <v>0.7024570399536062</v>
      </c>
      <c r="J29" s="18">
        <v>0.71157616916382926</v>
      </c>
      <c r="K29" s="18">
        <v>0.72363000835048441</v>
      </c>
      <c r="L29" s="18">
        <v>0.73983376445526472</v>
      </c>
      <c r="M29" s="18">
        <v>0.74877261002307971</v>
      </c>
      <c r="N29" s="18">
        <v>0.73562169704699432</v>
      </c>
      <c r="O29" s="18">
        <v>0.75559151532642077</v>
      </c>
      <c r="P29" s="18">
        <v>0.75558506614668253</v>
      </c>
      <c r="Q29" s="18">
        <v>0.75949903510144479</v>
      </c>
      <c r="R29" s="18">
        <v>0.76487132988940454</v>
      </c>
      <c r="S29" s="18">
        <v>0.77306330481553465</v>
      </c>
      <c r="T29" s="90">
        <f t="shared" si="6"/>
        <v>6.1487135651705387</v>
      </c>
      <c r="U29" s="90">
        <f t="shared" si="7"/>
        <v>1.7471789489113876</v>
      </c>
      <c r="V29" s="90">
        <f t="shared" si="8"/>
        <v>0.81919749261301078</v>
      </c>
      <c r="W29" s="146"/>
      <c r="X29" s="147"/>
      <c r="Y29" s="147"/>
    </row>
    <row r="30" spans="1:25" x14ac:dyDescent="0.25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115"/>
      <c r="S30" s="115"/>
      <c r="T30" s="116"/>
      <c r="U30" s="116"/>
      <c r="W30" s="146"/>
      <c r="X30" s="147"/>
      <c r="Y30" s="147"/>
    </row>
    <row r="31" spans="1:25" ht="18" x14ac:dyDescent="0.25">
      <c r="A31" s="56" t="s">
        <v>256</v>
      </c>
      <c r="B31" s="56"/>
      <c r="C31" s="46"/>
      <c r="D31" s="46"/>
      <c r="E31" s="46"/>
      <c r="F31" s="46"/>
      <c r="G31" s="46"/>
      <c r="H31" s="6"/>
      <c r="I31" s="6"/>
      <c r="J31" s="6"/>
      <c r="K31" s="6"/>
      <c r="L31" s="6"/>
      <c r="M31" s="6"/>
      <c r="N31" s="6"/>
      <c r="O31" s="6"/>
      <c r="P31" s="6"/>
      <c r="Q31" s="6"/>
      <c r="W31" s="146"/>
      <c r="X31" s="147"/>
      <c r="Y31" s="147"/>
    </row>
    <row r="32" spans="1:25" ht="45" customHeight="1" x14ac:dyDescent="0.25">
      <c r="A32" s="14" t="s">
        <v>88</v>
      </c>
      <c r="B32" s="38">
        <v>2007</v>
      </c>
      <c r="C32" s="38">
        <v>2008</v>
      </c>
      <c r="D32" s="38">
        <v>2009</v>
      </c>
      <c r="E32" s="38">
        <v>2010</v>
      </c>
      <c r="F32" s="38">
        <v>2011</v>
      </c>
      <c r="G32" s="38">
        <v>2012</v>
      </c>
      <c r="H32" s="38">
        <v>2013</v>
      </c>
      <c r="I32" s="38">
        <v>2014</v>
      </c>
      <c r="J32" s="38">
        <v>2015</v>
      </c>
      <c r="K32" s="38">
        <v>2016</v>
      </c>
      <c r="L32" s="38">
        <v>2017</v>
      </c>
      <c r="M32" s="38">
        <v>2018</v>
      </c>
      <c r="N32" s="38">
        <v>2019</v>
      </c>
      <c r="O32" s="38">
        <v>2020</v>
      </c>
      <c r="P32" s="38">
        <v>2021</v>
      </c>
      <c r="Q32" s="38">
        <v>2022</v>
      </c>
      <c r="R32" s="38">
        <v>2023</v>
      </c>
      <c r="S32" s="38">
        <v>2024</v>
      </c>
      <c r="T32" s="39" t="s">
        <v>373</v>
      </c>
      <c r="U32" s="39" t="s">
        <v>374</v>
      </c>
      <c r="V32" s="39" t="s">
        <v>375</v>
      </c>
    </row>
    <row r="33" spans="1:25" x14ac:dyDescent="0.25">
      <c r="A33" s="81" t="s">
        <v>2</v>
      </c>
      <c r="B33" s="18">
        <v>0.57338243029984215</v>
      </c>
      <c r="C33" s="18">
        <v>0.62568364382156894</v>
      </c>
      <c r="D33" s="18">
        <v>0.67077541577380384</v>
      </c>
      <c r="E33" s="18">
        <v>0.63962304846282747</v>
      </c>
      <c r="F33" s="18">
        <v>0.61599207110429055</v>
      </c>
      <c r="G33" s="18">
        <v>0.63396955387511145</v>
      </c>
      <c r="H33" s="18">
        <v>0.6391307070833594</v>
      </c>
      <c r="I33" s="18">
        <v>0.63193502650721245</v>
      </c>
      <c r="J33" s="18">
        <v>0.65588555683711391</v>
      </c>
      <c r="K33" s="18">
        <v>0.66687276724374833</v>
      </c>
      <c r="L33" s="18">
        <v>0.68720600442722746</v>
      </c>
      <c r="M33" s="18">
        <v>0.7043048938934604</v>
      </c>
      <c r="N33" s="61">
        <v>0.6776652749370341</v>
      </c>
      <c r="O33" s="61">
        <v>0.66138092343960075</v>
      </c>
      <c r="P33" s="61">
        <v>0.68902109248242294</v>
      </c>
      <c r="Q33" s="61">
        <v>0.71704403898292668</v>
      </c>
      <c r="R33" s="61">
        <v>0.70959094687908242</v>
      </c>
      <c r="S33" s="61">
        <v>0.70921942692103068</v>
      </c>
      <c r="T33" s="90">
        <f t="shared" ref="T33:T44" si="9">(S33-J33)*100</f>
        <v>5.3333870083916768</v>
      </c>
      <c r="U33" s="90">
        <f t="shared" ref="U33:U44" si="10">(S33-O33)*100</f>
        <v>4.7838503481429928</v>
      </c>
      <c r="V33" s="140">
        <f t="shared" ref="V33:V44" si="11">(S33-R33)*100</f>
        <v>-3.7151995805173588E-2</v>
      </c>
      <c r="W33" s="146"/>
      <c r="X33" s="147"/>
      <c r="Y33" s="147"/>
    </row>
    <row r="34" spans="1:25" x14ac:dyDescent="0.25">
      <c r="A34" s="30" t="s">
        <v>63</v>
      </c>
      <c r="B34" s="41">
        <v>0.57338243029984215</v>
      </c>
      <c r="C34" s="41">
        <v>0.62568364382156894</v>
      </c>
      <c r="D34" s="41">
        <v>0.67077541577380384</v>
      </c>
      <c r="E34" s="41">
        <v>0.63962304846282747</v>
      </c>
      <c r="F34" s="41">
        <v>0.61599207110429055</v>
      </c>
      <c r="G34" s="41">
        <v>0.63396955387511145</v>
      </c>
      <c r="H34" s="41">
        <v>0.6391307070833594</v>
      </c>
      <c r="I34" s="41">
        <v>0.63193502650721245</v>
      </c>
      <c r="J34" s="41">
        <v>0.65588555683711391</v>
      </c>
      <c r="K34" s="41">
        <v>0.66687276724374833</v>
      </c>
      <c r="L34" s="41">
        <v>0.68720600442722746</v>
      </c>
      <c r="M34" s="41">
        <v>0.7043048938934604</v>
      </c>
      <c r="N34" s="41">
        <v>0.6776652749370341</v>
      </c>
      <c r="O34" s="41">
        <v>0.66138092343960075</v>
      </c>
      <c r="P34" s="41">
        <v>0.68902109248242294</v>
      </c>
      <c r="Q34" s="41">
        <v>0.71704403898292668</v>
      </c>
      <c r="R34" s="41">
        <v>0.70959094687908242</v>
      </c>
      <c r="S34" s="41">
        <v>0.70921942692103068</v>
      </c>
      <c r="T34" s="89">
        <f t="shared" si="9"/>
        <v>5.3333870083916768</v>
      </c>
      <c r="U34" s="89">
        <f t="shared" si="10"/>
        <v>4.7838503481429928</v>
      </c>
      <c r="V34" s="89">
        <f t="shared" si="11"/>
        <v>-3.7151995805173588E-2</v>
      </c>
      <c r="W34" s="146"/>
      <c r="X34" s="147"/>
      <c r="Y34" s="147"/>
    </row>
    <row r="35" spans="1:25" x14ac:dyDescent="0.25">
      <c r="A35" s="81" t="s">
        <v>3</v>
      </c>
      <c r="B35" s="18">
        <v>0.57332552235891432</v>
      </c>
      <c r="C35" s="18">
        <v>0.62948123785319177</v>
      </c>
      <c r="D35" s="18">
        <v>0.64158851038818332</v>
      </c>
      <c r="E35" s="18">
        <v>0.64470485160442448</v>
      </c>
      <c r="F35" s="18">
        <v>0.64074570894243665</v>
      </c>
      <c r="G35" s="18">
        <v>0.64525364092239779</v>
      </c>
      <c r="H35" s="18">
        <v>0.66088429885428435</v>
      </c>
      <c r="I35" s="18">
        <v>0.67389038720096739</v>
      </c>
      <c r="J35" s="18">
        <v>0.67539280011252412</v>
      </c>
      <c r="K35" s="18">
        <v>0.68481568314461017</v>
      </c>
      <c r="L35" s="18">
        <v>0.70821039955270737</v>
      </c>
      <c r="M35" s="18">
        <v>0.72223829541006479</v>
      </c>
      <c r="N35" s="61">
        <v>0.6931495299523629</v>
      </c>
      <c r="O35" s="61">
        <v>0.6879956504621384</v>
      </c>
      <c r="P35" s="61">
        <v>0.70536467751657628</v>
      </c>
      <c r="Q35" s="61">
        <v>0.72033145190344661</v>
      </c>
      <c r="R35" s="61">
        <v>0.721774009407395</v>
      </c>
      <c r="S35" s="61">
        <v>0.7275282683267692</v>
      </c>
      <c r="T35" s="90">
        <f t="shared" si="9"/>
        <v>5.213546821424508</v>
      </c>
      <c r="U35" s="90">
        <f t="shared" si="10"/>
        <v>3.9532617864630804</v>
      </c>
      <c r="V35" s="90">
        <f t="shared" si="11"/>
        <v>0.57542589193742</v>
      </c>
      <c r="W35" s="146"/>
      <c r="X35" s="147"/>
      <c r="Y35" s="147"/>
    </row>
    <row r="36" spans="1:25" x14ac:dyDescent="0.25">
      <c r="A36" s="30" t="s">
        <v>63</v>
      </c>
      <c r="B36" s="41">
        <v>0.55695603074569233</v>
      </c>
      <c r="C36" s="41">
        <v>0.64451473044528951</v>
      </c>
      <c r="D36" s="41">
        <v>0.6487933425797503</v>
      </c>
      <c r="E36" s="41">
        <v>0.64374315143545913</v>
      </c>
      <c r="F36" s="41">
        <v>0.64450059133426518</v>
      </c>
      <c r="G36" s="41">
        <v>0.63456564734520005</v>
      </c>
      <c r="H36" s="41">
        <v>0.65660284732449681</v>
      </c>
      <c r="I36" s="41">
        <v>0.66851937033629771</v>
      </c>
      <c r="J36" s="41">
        <v>0.66653202115158638</v>
      </c>
      <c r="K36" s="41">
        <v>0.67394397843019771</v>
      </c>
      <c r="L36" s="41">
        <v>0.69518873721048269</v>
      </c>
      <c r="M36" s="41">
        <v>0.70204521577776868</v>
      </c>
      <c r="N36" s="41">
        <v>0.66372995587794326</v>
      </c>
      <c r="O36" s="41">
        <v>0.65210592686002522</v>
      </c>
      <c r="P36" s="41">
        <v>0.68102494388416424</v>
      </c>
      <c r="Q36" s="41">
        <v>0.68716039746630242</v>
      </c>
      <c r="R36" s="41">
        <v>0.68707177181832269</v>
      </c>
      <c r="S36" s="41">
        <v>0.69403750884642601</v>
      </c>
      <c r="T36" s="89">
        <f t="shared" si="9"/>
        <v>2.7505487694839625</v>
      </c>
      <c r="U36" s="89">
        <f t="shared" si="10"/>
        <v>4.193158198640079</v>
      </c>
      <c r="V36" s="89">
        <f t="shared" si="11"/>
        <v>0.69657370281033248</v>
      </c>
      <c r="W36" s="146"/>
      <c r="X36" s="147"/>
      <c r="Y36" s="147"/>
    </row>
    <row r="37" spans="1:25" x14ac:dyDescent="0.25">
      <c r="A37" s="30" t="s">
        <v>89</v>
      </c>
      <c r="B37" s="41">
        <v>0.58481161494811107</v>
      </c>
      <c r="C37" s="41">
        <v>0.61856468220174965</v>
      </c>
      <c r="D37" s="41">
        <v>0.63543542120723961</v>
      </c>
      <c r="E37" s="41">
        <v>0.64566549912434323</v>
      </c>
      <c r="F37" s="41">
        <v>0.63622234214786832</v>
      </c>
      <c r="G37" s="41">
        <v>0.66176297793340066</v>
      </c>
      <c r="H37" s="41">
        <v>0.66708820739803987</v>
      </c>
      <c r="I37" s="41">
        <v>0.68275251407248116</v>
      </c>
      <c r="J37" s="41">
        <v>0.69387494574514264</v>
      </c>
      <c r="K37" s="41">
        <v>0.70649738610903656</v>
      </c>
      <c r="L37" s="41">
        <v>0.73176447848462156</v>
      </c>
      <c r="M37" s="41">
        <v>0.75570378745053701</v>
      </c>
      <c r="N37" s="41">
        <v>0.73556781684921357</v>
      </c>
      <c r="O37" s="41">
        <v>0.7332161091456052</v>
      </c>
      <c r="P37" s="41">
        <v>0.73448967239161689</v>
      </c>
      <c r="Q37" s="41">
        <v>0.75824854588816637</v>
      </c>
      <c r="R37" s="41">
        <v>0.75524851964830431</v>
      </c>
      <c r="S37" s="41">
        <v>0.75479716491875071</v>
      </c>
      <c r="T37" s="89">
        <f t="shared" si="9"/>
        <v>6.0922219173608072</v>
      </c>
      <c r="U37" s="89">
        <f t="shared" si="10"/>
        <v>2.1581055773145508</v>
      </c>
      <c r="V37" s="89">
        <f t="shared" si="11"/>
        <v>-4.5135472955359912E-2</v>
      </c>
      <c r="W37" s="146"/>
      <c r="X37" s="147"/>
      <c r="Y37" s="147"/>
    </row>
    <row r="38" spans="1:25" x14ac:dyDescent="0.25">
      <c r="A38" s="81" t="s">
        <v>4</v>
      </c>
      <c r="B38" s="18">
        <v>0.74646289375333685</v>
      </c>
      <c r="C38" s="18">
        <v>0.74963747863351726</v>
      </c>
      <c r="D38" s="18">
        <v>0.76462797157280493</v>
      </c>
      <c r="E38" s="18">
        <v>0.78328907697839734</v>
      </c>
      <c r="F38" s="18">
        <v>0.74490335064810309</v>
      </c>
      <c r="G38" s="18">
        <v>0.74557350235125741</v>
      </c>
      <c r="H38" s="18">
        <v>0.74931480655236149</v>
      </c>
      <c r="I38" s="18">
        <v>0.76204896201977457</v>
      </c>
      <c r="J38" s="18">
        <v>0.76845323923455378</v>
      </c>
      <c r="K38" s="18">
        <v>0.77914238569668104</v>
      </c>
      <c r="L38" s="18">
        <v>0.78736286666147959</v>
      </c>
      <c r="M38" s="18">
        <v>0.78895438417935349</v>
      </c>
      <c r="N38" s="61">
        <v>0.79652944646685564</v>
      </c>
      <c r="O38" s="61">
        <v>0.85034322128356299</v>
      </c>
      <c r="P38" s="61">
        <v>0.83126862410107671</v>
      </c>
      <c r="Q38" s="61">
        <v>0.81614614024749554</v>
      </c>
      <c r="R38" s="61">
        <v>0.82641480796694011</v>
      </c>
      <c r="S38" s="61">
        <v>0.83978909896900289</v>
      </c>
      <c r="T38" s="90">
        <f t="shared" si="9"/>
        <v>7.1335859734449114</v>
      </c>
      <c r="U38" s="90">
        <f t="shared" si="10"/>
        <v>-1.0554122314560099</v>
      </c>
      <c r="V38" s="90">
        <f t="shared" si="11"/>
        <v>1.3374291002062777</v>
      </c>
      <c r="W38" s="146"/>
      <c r="X38" s="147"/>
      <c r="Y38" s="147"/>
    </row>
    <row r="39" spans="1:25" x14ac:dyDescent="0.25">
      <c r="A39" s="30" t="s">
        <v>63</v>
      </c>
      <c r="B39" s="41">
        <v>0.53973556019485036</v>
      </c>
      <c r="C39" s="41">
        <v>0.5694043197138533</v>
      </c>
      <c r="D39" s="41">
        <v>0.5816199376947041</v>
      </c>
      <c r="E39" s="41">
        <v>0.66524991499489972</v>
      </c>
      <c r="F39" s="41">
        <v>0.59946236559139787</v>
      </c>
      <c r="G39" s="41">
        <v>0.63100418753592247</v>
      </c>
      <c r="H39" s="41">
        <v>0.6144861477102771</v>
      </c>
      <c r="I39" s="41">
        <v>0.63187393388026969</v>
      </c>
      <c r="J39" s="41">
        <v>0.64798266991605735</v>
      </c>
      <c r="K39" s="41">
        <v>0.7149495835160018</v>
      </c>
      <c r="L39" s="41">
        <v>0.69478908188585609</v>
      </c>
      <c r="M39" s="41">
        <v>0.70005207429265748</v>
      </c>
      <c r="N39" s="41">
        <v>0.68784764777976803</v>
      </c>
      <c r="O39" s="41">
        <v>0.7071248105103588</v>
      </c>
      <c r="P39" s="41">
        <v>0.70479532163742686</v>
      </c>
      <c r="Q39" s="41">
        <v>0.67610481900954922</v>
      </c>
      <c r="R39" s="41">
        <v>0.6914053688247237</v>
      </c>
      <c r="S39" s="41">
        <v>0.68930410827644029</v>
      </c>
      <c r="T39" s="89">
        <f t="shared" si="9"/>
        <v>4.1321438360382938</v>
      </c>
      <c r="U39" s="89">
        <f t="shared" si="10"/>
        <v>-1.7820702233918517</v>
      </c>
      <c r="V39" s="89">
        <f t="shared" si="11"/>
        <v>-0.21012605482834124</v>
      </c>
      <c r="W39" s="146"/>
      <c r="X39" s="147"/>
      <c r="Y39" s="147"/>
    </row>
    <row r="40" spans="1:25" x14ac:dyDescent="0.25">
      <c r="A40" s="30" t="s">
        <v>89</v>
      </c>
      <c r="B40" s="16">
        <v>0.6352563244545576</v>
      </c>
      <c r="C40" s="16">
        <v>0.63374485596707819</v>
      </c>
      <c r="D40" s="16">
        <v>0.684001178550383</v>
      </c>
      <c r="E40" s="16">
        <v>0.72246260353566571</v>
      </c>
      <c r="F40" s="16">
        <v>0.69002834321051276</v>
      </c>
      <c r="G40" s="16">
        <v>0.72174329501915713</v>
      </c>
      <c r="H40" s="16">
        <v>0.70228108903605591</v>
      </c>
      <c r="I40" s="16">
        <v>0.71111453676583936</v>
      </c>
      <c r="J40" s="16">
        <v>0.7023151347615757</v>
      </c>
      <c r="K40" s="16">
        <v>0.70692507681399197</v>
      </c>
      <c r="L40" s="16">
        <v>0.64451350705235477</v>
      </c>
      <c r="M40" s="16">
        <v>0.66091658084449023</v>
      </c>
      <c r="N40" s="16">
        <v>0.69383259911894268</v>
      </c>
      <c r="O40" s="16">
        <v>0.80530973451327437</v>
      </c>
      <c r="P40" s="16">
        <v>0.78067885117493474</v>
      </c>
      <c r="Q40" s="16">
        <v>0.75506756756756754</v>
      </c>
      <c r="R40" s="16">
        <v>0.76631853785900783</v>
      </c>
      <c r="S40" s="16">
        <v>0.73349937733499382</v>
      </c>
      <c r="T40" s="89">
        <f t="shared" si="9"/>
        <v>3.1184242573418119</v>
      </c>
      <c r="U40" s="89">
        <f t="shared" si="10"/>
        <v>-7.1810357178280544</v>
      </c>
      <c r="V40" s="89">
        <f t="shared" si="11"/>
        <v>-3.2819160524014013</v>
      </c>
      <c r="W40" s="146"/>
      <c r="X40" s="147"/>
      <c r="Y40" s="147"/>
    </row>
    <row r="41" spans="1:25" x14ac:dyDescent="0.25">
      <c r="A41" s="77" t="s">
        <v>87</v>
      </c>
      <c r="B41" s="41">
        <v>0.69848399775407077</v>
      </c>
      <c r="C41" s="41">
        <v>0.65879543645529315</v>
      </c>
      <c r="D41" s="41">
        <v>0.65745007680491552</v>
      </c>
      <c r="E41" s="41">
        <v>0.6961606915840326</v>
      </c>
      <c r="F41" s="41">
        <v>0.52826279964486533</v>
      </c>
      <c r="G41" s="41">
        <v>0.62315193457061968</v>
      </c>
      <c r="H41" s="41">
        <v>0.63973436635307135</v>
      </c>
      <c r="I41" s="41">
        <v>0.6712218649517685</v>
      </c>
      <c r="J41" s="41">
        <v>0.65925292272597658</v>
      </c>
      <c r="K41" s="41">
        <v>0.65348399246704336</v>
      </c>
      <c r="L41" s="41">
        <v>0.69165813715455471</v>
      </c>
      <c r="M41" s="41">
        <v>0.70142743854084055</v>
      </c>
      <c r="N41" s="41">
        <v>0.7387373096446701</v>
      </c>
      <c r="O41" s="41">
        <v>0.78110289172831204</v>
      </c>
      <c r="P41" s="41">
        <v>0.7374476987447699</v>
      </c>
      <c r="Q41" s="41">
        <v>0.74032957502168262</v>
      </c>
      <c r="R41" s="41">
        <v>0.73961038961038961</v>
      </c>
      <c r="S41" s="41">
        <v>0.74607454401268836</v>
      </c>
      <c r="T41" s="89">
        <f t="shared" si="9"/>
        <v>8.6821621286711785</v>
      </c>
      <c r="U41" s="89">
        <f t="shared" si="10"/>
        <v>-3.5028347715623687</v>
      </c>
      <c r="V41" s="89">
        <f t="shared" si="11"/>
        <v>0.64641544022987496</v>
      </c>
      <c r="W41" s="146"/>
      <c r="X41" s="147"/>
      <c r="Y41" s="147"/>
    </row>
    <row r="42" spans="1:25" x14ac:dyDescent="0.25">
      <c r="A42" s="30" t="s">
        <v>86</v>
      </c>
      <c r="B42" s="41">
        <v>0.76213592233009708</v>
      </c>
      <c r="C42" s="41">
        <v>0.72930232558139529</v>
      </c>
      <c r="D42" s="41">
        <v>0.75432372505543233</v>
      </c>
      <c r="E42" s="41">
        <v>0.7325776658270361</v>
      </c>
      <c r="F42" s="41">
        <v>0.71812702828001851</v>
      </c>
      <c r="G42" s="41">
        <v>0.68841201716738198</v>
      </c>
      <c r="H42" s="41">
        <v>0.70986622073578598</v>
      </c>
      <c r="I42" s="41">
        <v>0.71955719557195574</v>
      </c>
      <c r="J42" s="41">
        <v>0.7120500782472613</v>
      </c>
      <c r="K42" s="41">
        <v>0.70622342481638967</v>
      </c>
      <c r="L42" s="41">
        <v>0.76382411725516319</v>
      </c>
      <c r="M42" s="41">
        <v>0.77641385357299431</v>
      </c>
      <c r="N42" s="41">
        <v>0.74894692502106153</v>
      </c>
      <c r="O42" s="41">
        <v>0.81977471839799754</v>
      </c>
      <c r="P42" s="41">
        <v>0.80494037478705283</v>
      </c>
      <c r="Q42" s="41">
        <v>0.7855719410123555</v>
      </c>
      <c r="R42" s="41">
        <v>0.80335474660956463</v>
      </c>
      <c r="S42" s="41">
        <v>0.81092586023412561</v>
      </c>
      <c r="T42" s="89">
        <f t="shared" si="9"/>
        <v>9.8875781986864304</v>
      </c>
      <c r="U42" s="89">
        <f t="shared" si="10"/>
        <v>-0.8848858163871931</v>
      </c>
      <c r="V42" s="89">
        <f t="shared" si="11"/>
        <v>0.75711136245609767</v>
      </c>
      <c r="W42" s="146"/>
      <c r="X42" s="147"/>
      <c r="Y42" s="147"/>
    </row>
    <row r="43" spans="1:25" x14ac:dyDescent="0.25">
      <c r="A43" s="30" t="s">
        <v>90</v>
      </c>
      <c r="B43" s="41">
        <v>0.77112931138568042</v>
      </c>
      <c r="C43" s="41">
        <v>0.77365658440390916</v>
      </c>
      <c r="D43" s="41">
        <v>0.78819124943617502</v>
      </c>
      <c r="E43" s="41">
        <v>0.80307993651008069</v>
      </c>
      <c r="F43" s="41">
        <v>0.7688312117978876</v>
      </c>
      <c r="G43" s="41">
        <v>0.76240857482610891</v>
      </c>
      <c r="H43" s="41">
        <v>0.77295184462963129</v>
      </c>
      <c r="I43" s="41">
        <v>0.78324529783361285</v>
      </c>
      <c r="J43" s="41">
        <v>0.78795804694085037</v>
      </c>
      <c r="K43" s="41">
        <v>0.79305782679080628</v>
      </c>
      <c r="L43" s="41">
        <v>0.80527332057303302</v>
      </c>
      <c r="M43" s="41">
        <v>0.80572607469159196</v>
      </c>
      <c r="N43" s="41">
        <v>0.8123940975622217</v>
      </c>
      <c r="O43" s="41">
        <v>0.86791959146110398</v>
      </c>
      <c r="P43" s="41">
        <v>0.84712988150675461</v>
      </c>
      <c r="Q43" s="41">
        <v>0.83270111422904303</v>
      </c>
      <c r="R43" s="41">
        <v>0.84099560761347003</v>
      </c>
      <c r="S43" s="41">
        <v>0.85520905910006206</v>
      </c>
      <c r="T43" s="89">
        <f t="shared" si="9"/>
        <v>6.7251012159211694</v>
      </c>
      <c r="U43" s="89">
        <f t="shared" si="10"/>
        <v>-1.2710532361041915</v>
      </c>
      <c r="V43" s="89">
        <f t="shared" si="11"/>
        <v>1.4213451486592033</v>
      </c>
      <c r="W43" s="146"/>
      <c r="X43" s="147"/>
      <c r="Y43" s="147"/>
    </row>
    <row r="44" spans="1:25" x14ac:dyDescent="0.25">
      <c r="A44" s="81" t="s">
        <v>1</v>
      </c>
      <c r="B44" s="18">
        <v>0.66658579105335991</v>
      </c>
      <c r="C44" s="18">
        <v>0.6912781111500006</v>
      </c>
      <c r="D44" s="18">
        <v>0.70922233792689326</v>
      </c>
      <c r="E44" s="18">
        <v>0.7113320616485761</v>
      </c>
      <c r="F44" s="18">
        <v>0.6846562721474132</v>
      </c>
      <c r="G44" s="18">
        <v>0.68973220651564271</v>
      </c>
      <c r="H44" s="18">
        <v>0.69461321726761271</v>
      </c>
      <c r="I44" s="18">
        <v>0.7024570399536062</v>
      </c>
      <c r="J44" s="18">
        <v>0.71157616916382926</v>
      </c>
      <c r="K44" s="18">
        <v>0.72363000835048441</v>
      </c>
      <c r="L44" s="18">
        <v>0.73983376445526472</v>
      </c>
      <c r="M44" s="18">
        <v>0.74877261002307971</v>
      </c>
      <c r="N44" s="18">
        <v>0.73562169704699432</v>
      </c>
      <c r="O44" s="18">
        <v>0.75559151532642077</v>
      </c>
      <c r="P44" s="18">
        <v>0.75558506614668253</v>
      </c>
      <c r="Q44" s="18">
        <v>0.75949903510144479</v>
      </c>
      <c r="R44" s="18">
        <v>0.76487132988940454</v>
      </c>
      <c r="S44" s="18">
        <v>0.77306330481553465</v>
      </c>
      <c r="T44" s="90">
        <f t="shared" si="9"/>
        <v>6.1487135651705387</v>
      </c>
      <c r="U44" s="90">
        <f t="shared" si="10"/>
        <v>1.7471789489113876</v>
      </c>
      <c r="V44" s="90">
        <f t="shared" si="11"/>
        <v>0.81919749261301078</v>
      </c>
      <c r="W44" s="146"/>
      <c r="X44" s="147"/>
      <c r="Y44" s="147"/>
    </row>
    <row r="45" spans="1:25" x14ac:dyDescent="0.25">
      <c r="A45" s="117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T45" s="113"/>
      <c r="U45" s="114"/>
      <c r="V45" s="114"/>
      <c r="W45" s="146"/>
      <c r="X45" s="147"/>
      <c r="Y45" s="147"/>
    </row>
    <row r="46" spans="1:25" ht="18" x14ac:dyDescent="0.25">
      <c r="A46" s="56" t="s">
        <v>257</v>
      </c>
      <c r="B46" s="56"/>
      <c r="C46" s="46"/>
      <c r="D46" s="46"/>
      <c r="E46" s="46"/>
      <c r="F46" s="46"/>
      <c r="G46" s="46"/>
      <c r="H46" s="6"/>
      <c r="I46" s="6"/>
      <c r="J46" s="6"/>
      <c r="K46" s="6"/>
      <c r="L46" s="6"/>
      <c r="M46" s="6"/>
      <c r="N46" s="6"/>
      <c r="O46" s="6"/>
      <c r="P46" s="6"/>
      <c r="Q46" s="6"/>
      <c r="V46" s="12"/>
      <c r="W46" s="146"/>
      <c r="X46" s="147"/>
      <c r="Y46" s="147"/>
    </row>
    <row r="47" spans="1:25" ht="45" customHeight="1" x14ac:dyDescent="0.25">
      <c r="A47" s="14" t="s">
        <v>68</v>
      </c>
      <c r="B47" s="38">
        <v>2007</v>
      </c>
      <c r="C47" s="38">
        <v>2008</v>
      </c>
      <c r="D47" s="38">
        <v>2009</v>
      </c>
      <c r="E47" s="38">
        <v>2010</v>
      </c>
      <c r="F47" s="38">
        <v>2011</v>
      </c>
      <c r="G47" s="38">
        <v>2012</v>
      </c>
      <c r="H47" s="38">
        <v>2013</v>
      </c>
      <c r="I47" s="38">
        <v>2014</v>
      </c>
      <c r="J47" s="38">
        <v>2015</v>
      </c>
      <c r="K47" s="38">
        <v>2016</v>
      </c>
      <c r="L47" s="38">
        <v>2017</v>
      </c>
      <c r="M47" s="38">
        <v>2018</v>
      </c>
      <c r="N47" s="38">
        <v>2019</v>
      </c>
      <c r="O47" s="38">
        <v>2020</v>
      </c>
      <c r="P47" s="38">
        <v>2021</v>
      </c>
      <c r="Q47" s="38">
        <v>2022</v>
      </c>
      <c r="R47" s="38">
        <v>2023</v>
      </c>
      <c r="S47" s="38">
        <v>2024</v>
      </c>
      <c r="T47" s="39" t="s">
        <v>373</v>
      </c>
      <c r="U47" s="39" t="s">
        <v>374</v>
      </c>
      <c r="V47" s="39" t="s">
        <v>375</v>
      </c>
      <c r="W47" s="146"/>
      <c r="X47" s="147"/>
      <c r="Y47" s="147"/>
    </row>
    <row r="48" spans="1:25" x14ac:dyDescent="0.25">
      <c r="A48" s="19" t="s">
        <v>5</v>
      </c>
      <c r="B48" s="41">
        <v>0.63831630443091192</v>
      </c>
      <c r="C48" s="41">
        <v>0.65173670372249648</v>
      </c>
      <c r="D48" s="41">
        <v>0.67121994208737257</v>
      </c>
      <c r="E48" s="41">
        <v>0.67334665560666618</v>
      </c>
      <c r="F48" s="41">
        <v>0.65521796565389701</v>
      </c>
      <c r="G48" s="41">
        <v>0.67095351503925205</v>
      </c>
      <c r="H48" s="41">
        <v>0.68397853261326735</v>
      </c>
      <c r="I48" s="41">
        <v>0.69125687340403863</v>
      </c>
      <c r="J48" s="41">
        <v>0.70744081172491546</v>
      </c>
      <c r="K48" s="41">
        <v>0.71272257615115586</v>
      </c>
      <c r="L48" s="41">
        <v>0.71882223934562262</v>
      </c>
      <c r="M48" s="41">
        <v>0.73340291661766432</v>
      </c>
      <c r="N48" s="41">
        <v>0.71415675131711365</v>
      </c>
      <c r="O48" s="41">
        <v>0.73094431324229048</v>
      </c>
      <c r="P48" s="41">
        <v>0.72868178253833193</v>
      </c>
      <c r="Q48" s="41">
        <v>0.73571987480438183</v>
      </c>
      <c r="R48" s="41">
        <v>0.74411796934925878</v>
      </c>
      <c r="S48" s="41">
        <v>0.74635299107751507</v>
      </c>
      <c r="T48" s="89">
        <f t="shared" ref="T48:T58" si="12">(S48-J48)*100</f>
        <v>3.8912179352599607</v>
      </c>
      <c r="U48" s="89">
        <f t="shared" ref="U48:U58" si="13">(S48-O48)*100</f>
        <v>1.5408677835224593</v>
      </c>
      <c r="V48" s="89">
        <f t="shared" ref="V48:V58" si="14">(S48-R48)*100</f>
        <v>0.22350217282562923</v>
      </c>
      <c r="W48" s="146"/>
      <c r="X48" s="147"/>
      <c r="Y48" s="147"/>
    </row>
    <row r="49" spans="1:25" x14ac:dyDescent="0.25">
      <c r="A49" s="19" t="s">
        <v>6</v>
      </c>
      <c r="B49" s="41">
        <v>0.73811537810861105</v>
      </c>
      <c r="C49" s="41">
        <v>0.71080031080031081</v>
      </c>
      <c r="D49" s="41">
        <v>0.74685679239497083</v>
      </c>
      <c r="E49" s="41">
        <v>0.74591357824890758</v>
      </c>
      <c r="F49" s="41">
        <v>0.72799739710427847</v>
      </c>
      <c r="G49" s="41">
        <v>0.74912891986062713</v>
      </c>
      <c r="H49" s="41">
        <v>0.71683201614259295</v>
      </c>
      <c r="I49" s="41">
        <v>0.74348869088416725</v>
      </c>
      <c r="J49" s="41">
        <v>0.75448916408668731</v>
      </c>
      <c r="K49" s="41">
        <v>0.76288802660753885</v>
      </c>
      <c r="L49" s="41">
        <v>0.77063377509513187</v>
      </c>
      <c r="M49" s="41">
        <v>0.77032596478081683</v>
      </c>
      <c r="N49" s="41">
        <v>0.75489744180686791</v>
      </c>
      <c r="O49" s="41">
        <v>0.76061552701608237</v>
      </c>
      <c r="P49" s="41">
        <v>0.78081321473951715</v>
      </c>
      <c r="Q49" s="41">
        <v>0.79858020767111682</v>
      </c>
      <c r="R49" s="41">
        <v>0.80170316301703159</v>
      </c>
      <c r="S49" s="41">
        <v>0.81202804746494062</v>
      </c>
      <c r="T49" s="89">
        <f t="shared" si="12"/>
        <v>5.7538883378253303</v>
      </c>
      <c r="U49" s="89">
        <f t="shared" si="13"/>
        <v>5.1412520448858245</v>
      </c>
      <c r="V49" s="89">
        <f t="shared" si="14"/>
        <v>1.0324884447909022</v>
      </c>
      <c r="W49" s="146"/>
      <c r="X49" s="147"/>
      <c r="Y49" s="147"/>
    </row>
    <row r="50" spans="1:25" x14ac:dyDescent="0.25">
      <c r="A50" s="19" t="s">
        <v>7</v>
      </c>
      <c r="B50" s="41">
        <v>0.65962377317339149</v>
      </c>
      <c r="C50" s="41">
        <v>0.66087551299589609</v>
      </c>
      <c r="D50" s="41">
        <v>0.67852081786895202</v>
      </c>
      <c r="E50" s="41">
        <v>0.67020053646698174</v>
      </c>
      <c r="F50" s="41">
        <v>0.65348560866120942</v>
      </c>
      <c r="G50" s="41">
        <v>0.67168834616405626</v>
      </c>
      <c r="H50" s="41">
        <v>0.67117726657645471</v>
      </c>
      <c r="I50" s="41">
        <v>0.67990140563586698</v>
      </c>
      <c r="J50" s="41">
        <v>0.70075138843515195</v>
      </c>
      <c r="K50" s="41">
        <v>0.71944083224967492</v>
      </c>
      <c r="L50" s="41">
        <v>0.74451340456843051</v>
      </c>
      <c r="M50" s="41">
        <v>0.74267120788225272</v>
      </c>
      <c r="N50" s="41">
        <v>0.71825285288661533</v>
      </c>
      <c r="O50" s="41">
        <v>0.73929961089494167</v>
      </c>
      <c r="P50" s="41">
        <v>0.76080402010050252</v>
      </c>
      <c r="Q50" s="41">
        <v>0.772740948751379</v>
      </c>
      <c r="R50" s="41">
        <v>0.77835170409998622</v>
      </c>
      <c r="S50" s="41">
        <v>0.76473691783778597</v>
      </c>
      <c r="T50" s="89">
        <f t="shared" si="12"/>
        <v>6.3985529402634018</v>
      </c>
      <c r="U50" s="89">
        <f t="shared" si="13"/>
        <v>2.5437306942844295</v>
      </c>
      <c r="V50" s="89">
        <f t="shared" si="14"/>
        <v>-1.3614786262200251</v>
      </c>
      <c r="W50" s="146"/>
      <c r="X50" s="147"/>
      <c r="Y50" s="147"/>
    </row>
    <row r="51" spans="1:25" x14ac:dyDescent="0.25">
      <c r="A51" s="19" t="s">
        <v>8</v>
      </c>
      <c r="B51" s="41">
        <v>0.67963152507676561</v>
      </c>
      <c r="C51" s="41">
        <v>0.6578112609040444</v>
      </c>
      <c r="D51" s="41">
        <v>0.6685942173479561</v>
      </c>
      <c r="E51" s="41">
        <v>0.69296415702636072</v>
      </c>
      <c r="F51" s="41">
        <v>0.63499216300940442</v>
      </c>
      <c r="G51" s="41">
        <v>0.65894974590626765</v>
      </c>
      <c r="H51" s="41">
        <v>0.66525357198932333</v>
      </c>
      <c r="I51" s="41">
        <v>0.69250844335277861</v>
      </c>
      <c r="J51" s="41">
        <v>0.68327569946557687</v>
      </c>
      <c r="K51" s="41">
        <v>0.68575648178536264</v>
      </c>
      <c r="L51" s="41">
        <v>0.72060857538035961</v>
      </c>
      <c r="M51" s="41">
        <v>0.7402441120852673</v>
      </c>
      <c r="N51" s="41">
        <v>0.72281699565071933</v>
      </c>
      <c r="O51" s="41">
        <v>0.76848215810141707</v>
      </c>
      <c r="P51" s="41">
        <v>0.74538332400671514</v>
      </c>
      <c r="Q51" s="41">
        <v>0.71941765929287205</v>
      </c>
      <c r="R51" s="41">
        <v>0.72414948885537123</v>
      </c>
      <c r="S51" s="41">
        <v>0.767023346303502</v>
      </c>
      <c r="T51" s="89">
        <f t="shared" si="12"/>
        <v>8.3747646837925132</v>
      </c>
      <c r="U51" s="89">
        <f t="shared" si="13"/>
        <v>-0.14588117979150717</v>
      </c>
      <c r="V51" s="89">
        <f t="shared" si="14"/>
        <v>4.2873857448130774</v>
      </c>
      <c r="W51" s="146"/>
      <c r="X51" s="147"/>
      <c r="Y51" s="147"/>
    </row>
    <row r="52" spans="1:25" x14ac:dyDescent="0.25">
      <c r="A52" s="19" t="s">
        <v>9</v>
      </c>
      <c r="B52" s="41">
        <v>0.73591040462427748</v>
      </c>
      <c r="C52" s="41">
        <v>0.73182626365252734</v>
      </c>
      <c r="D52" s="41">
        <v>0.74417098445595853</v>
      </c>
      <c r="E52" s="41">
        <v>0.74565447240431382</v>
      </c>
      <c r="F52" s="41">
        <v>0.71657953696788645</v>
      </c>
      <c r="G52" s="41">
        <v>0.71741277156023697</v>
      </c>
      <c r="H52" s="41">
        <v>0.7289547849528244</v>
      </c>
      <c r="I52" s="41">
        <v>0.7390775222100523</v>
      </c>
      <c r="J52" s="41">
        <v>0.73993594681152952</v>
      </c>
      <c r="K52" s="41">
        <v>0.74938574938574942</v>
      </c>
      <c r="L52" s="41">
        <v>0.76039317925591887</v>
      </c>
      <c r="M52" s="41">
        <v>0.76627300192254877</v>
      </c>
      <c r="N52" s="41">
        <v>0.76598143236074268</v>
      </c>
      <c r="O52" s="41">
        <v>0.79011917960088696</v>
      </c>
      <c r="P52" s="41">
        <v>0.78588555505151969</v>
      </c>
      <c r="Q52" s="41">
        <v>0.78832475662919144</v>
      </c>
      <c r="R52" s="41">
        <v>0.79429130847125773</v>
      </c>
      <c r="S52" s="41">
        <v>0.81217277486910999</v>
      </c>
      <c r="T52" s="89">
        <f t="shared" si="12"/>
        <v>7.2236828057580471</v>
      </c>
      <c r="U52" s="89">
        <f t="shared" si="13"/>
        <v>2.2053595268223036</v>
      </c>
      <c r="V52" s="89">
        <f t="shared" si="14"/>
        <v>1.7881466397852264</v>
      </c>
      <c r="W52" s="146"/>
      <c r="X52" s="147"/>
      <c r="Y52" s="147"/>
    </row>
    <row r="53" spans="1:25" x14ac:dyDescent="0.25">
      <c r="A53" s="19" t="s">
        <v>10</v>
      </c>
      <c r="B53" s="41">
        <v>0.45838865579690902</v>
      </c>
      <c r="C53" s="41">
        <v>0.68532647980081918</v>
      </c>
      <c r="D53" s="41">
        <v>0.70622716846487132</v>
      </c>
      <c r="E53" s="41">
        <v>0.7163665973038994</v>
      </c>
      <c r="F53" s="41">
        <v>0.70708919283375071</v>
      </c>
      <c r="G53" s="41">
        <v>0.71278148457047541</v>
      </c>
      <c r="H53" s="41">
        <v>0.73452560678202294</v>
      </c>
      <c r="I53" s="41">
        <v>0.72700296735905046</v>
      </c>
      <c r="J53" s="41">
        <v>0.74842334594656579</v>
      </c>
      <c r="K53" s="41">
        <v>0.75185308109304128</v>
      </c>
      <c r="L53" s="41">
        <v>0.75933653244314625</v>
      </c>
      <c r="M53" s="41">
        <v>0.77294248010476474</v>
      </c>
      <c r="N53" s="41">
        <v>0.76967501957713391</v>
      </c>
      <c r="O53" s="41">
        <v>0.8232923832923833</v>
      </c>
      <c r="P53" s="41">
        <v>0.79180918923916055</v>
      </c>
      <c r="Q53" s="41">
        <v>0.78462130690020215</v>
      </c>
      <c r="R53" s="41">
        <v>0.80433232305223745</v>
      </c>
      <c r="S53" s="41">
        <v>0.82241052916253499</v>
      </c>
      <c r="T53" s="89">
        <f t="shared" si="12"/>
        <v>7.3987183215969203</v>
      </c>
      <c r="U53" s="89">
        <f t="shared" si="13"/>
        <v>-8.8185412984831402E-2</v>
      </c>
      <c r="V53" s="89">
        <f t="shared" si="14"/>
        <v>1.8078206110297534</v>
      </c>
      <c r="W53" s="146"/>
      <c r="X53" s="147"/>
      <c r="Y53" s="147"/>
    </row>
    <row r="54" spans="1:25" x14ac:dyDescent="0.25">
      <c r="A54" s="19" t="s">
        <v>11</v>
      </c>
      <c r="B54" s="41">
        <v>0.72562851029687081</v>
      </c>
      <c r="C54" s="41">
        <v>0.73197851556365234</v>
      </c>
      <c r="D54" s="41">
        <v>0.7445904389152922</v>
      </c>
      <c r="E54" s="41">
        <v>0.74774643791799944</v>
      </c>
      <c r="F54" s="41">
        <v>0.72527287184058986</v>
      </c>
      <c r="G54" s="41">
        <v>0.70690968043035052</v>
      </c>
      <c r="H54" s="41">
        <v>0.71984718448169172</v>
      </c>
      <c r="I54" s="41">
        <v>0.72809545768964723</v>
      </c>
      <c r="J54" s="41">
        <v>0.73471801528919656</v>
      </c>
      <c r="K54" s="41">
        <v>0.76020879778152362</v>
      </c>
      <c r="L54" s="41">
        <v>0.7673873476366444</v>
      </c>
      <c r="M54" s="41">
        <v>0.77544090816947087</v>
      </c>
      <c r="N54" s="41">
        <v>0.75882778775772852</v>
      </c>
      <c r="O54" s="41">
        <v>0.77261302728401415</v>
      </c>
      <c r="P54" s="41">
        <v>0.77898197319461004</v>
      </c>
      <c r="Q54" s="41">
        <v>0.77293586680320092</v>
      </c>
      <c r="R54" s="41">
        <v>0.77634678812627611</v>
      </c>
      <c r="S54" s="41">
        <v>0.78352336101127773</v>
      </c>
      <c r="T54" s="89">
        <f t="shared" si="12"/>
        <v>4.8805345722081173</v>
      </c>
      <c r="U54" s="89">
        <f t="shared" si="13"/>
        <v>1.0910333727263577</v>
      </c>
      <c r="V54" s="89">
        <f t="shared" si="14"/>
        <v>0.71765728850016197</v>
      </c>
      <c r="W54" s="146"/>
      <c r="X54" s="147"/>
      <c r="Y54" s="147"/>
    </row>
    <row r="55" spans="1:25" x14ac:dyDescent="0.25">
      <c r="A55" s="19" t="s">
        <v>12</v>
      </c>
      <c r="B55" s="41">
        <v>0.6621282694374776</v>
      </c>
      <c r="C55" s="41">
        <v>0.56661891117478513</v>
      </c>
      <c r="D55" s="41">
        <v>0.64213611201563003</v>
      </c>
      <c r="E55" s="41">
        <v>0.67703927492447125</v>
      </c>
      <c r="F55" s="41">
        <v>0.63318112633181123</v>
      </c>
      <c r="G55" s="41">
        <v>0.64733690513709419</v>
      </c>
      <c r="H55" s="41">
        <v>0.66687325689494892</v>
      </c>
      <c r="I55" s="41">
        <v>0.67203759650889561</v>
      </c>
      <c r="J55" s="41">
        <v>0.69394773039889956</v>
      </c>
      <c r="K55" s="41">
        <v>0.69462969462969459</v>
      </c>
      <c r="L55" s="41">
        <v>0.71812543073742252</v>
      </c>
      <c r="M55" s="41">
        <v>0.69156883671291358</v>
      </c>
      <c r="N55" s="41">
        <v>0.68690702087286526</v>
      </c>
      <c r="O55" s="41">
        <v>0.77710563052582593</v>
      </c>
      <c r="P55" s="41">
        <v>0.7564508827523766</v>
      </c>
      <c r="Q55" s="41">
        <v>0.74399999999999999</v>
      </c>
      <c r="R55" s="41">
        <v>0.76403612092658024</v>
      </c>
      <c r="S55" s="41">
        <v>0.73189904840711628</v>
      </c>
      <c r="T55" s="89">
        <f t="shared" si="12"/>
        <v>3.7951318008216717</v>
      </c>
      <c r="U55" s="89">
        <f t="shared" si="13"/>
        <v>-4.5206582118709644</v>
      </c>
      <c r="V55" s="89">
        <f t="shared" si="14"/>
        <v>-3.2137072519463961</v>
      </c>
      <c r="W55" s="146"/>
      <c r="X55" s="147"/>
      <c r="Y55" s="147"/>
    </row>
    <row r="56" spans="1:25" x14ac:dyDescent="0.25">
      <c r="A56" s="19" t="s">
        <v>13</v>
      </c>
      <c r="B56" s="41">
        <v>0.73320389649516282</v>
      </c>
      <c r="C56" s="41">
        <v>0.7544592516658124</v>
      </c>
      <c r="D56" s="41">
        <v>0.76804830007707459</v>
      </c>
      <c r="E56" s="41">
        <v>0.76823859921903992</v>
      </c>
      <c r="F56" s="41">
        <v>0.731875213591759</v>
      </c>
      <c r="G56" s="41">
        <v>0.72506879210551289</v>
      </c>
      <c r="H56" s="41">
        <v>0.74461016949152548</v>
      </c>
      <c r="I56" s="41">
        <v>0.75032583042727818</v>
      </c>
      <c r="J56" s="41">
        <v>0.76397240891404317</v>
      </c>
      <c r="K56" s="41">
        <v>0.76941662581413262</v>
      </c>
      <c r="L56" s="41">
        <v>0.78145135734657234</v>
      </c>
      <c r="M56" s="41">
        <v>0.78692432725302508</v>
      </c>
      <c r="N56" s="41">
        <v>0.78264395782643958</v>
      </c>
      <c r="O56" s="41">
        <v>0.8171157585618477</v>
      </c>
      <c r="P56" s="41">
        <v>0.80655057609510361</v>
      </c>
      <c r="Q56" s="41">
        <v>0.80279288649422842</v>
      </c>
      <c r="R56" s="41">
        <v>0.80247233188790368</v>
      </c>
      <c r="S56" s="41">
        <v>0.81614910923041462</v>
      </c>
      <c r="T56" s="89">
        <f t="shared" si="12"/>
        <v>5.2176700316371445</v>
      </c>
      <c r="U56" s="89">
        <f t="shared" si="13"/>
        <v>-9.6664933143308929E-2</v>
      </c>
      <c r="V56" s="89">
        <f t="shared" si="14"/>
        <v>1.3676777342510937</v>
      </c>
      <c r="W56" s="146"/>
      <c r="X56" s="147"/>
      <c r="Y56" s="147"/>
    </row>
    <row r="57" spans="1:25" x14ac:dyDescent="0.25">
      <c r="A57" s="19" t="s">
        <v>14</v>
      </c>
      <c r="B57" s="41">
        <v>0.65884558771991308</v>
      </c>
      <c r="C57" s="41">
        <v>0.66001583275441456</v>
      </c>
      <c r="D57" s="41">
        <v>0.67640939406030898</v>
      </c>
      <c r="E57" s="41">
        <v>0.67472058676778768</v>
      </c>
      <c r="F57" s="41">
        <v>0.64663392083212945</v>
      </c>
      <c r="G57" s="41">
        <v>0.66184187510932302</v>
      </c>
      <c r="H57" s="41">
        <v>0.65862053183212044</v>
      </c>
      <c r="I57" s="41">
        <v>0.66786405084277423</v>
      </c>
      <c r="J57" s="41">
        <v>0.66764635316698662</v>
      </c>
      <c r="K57" s="41">
        <v>0.67943192948090103</v>
      </c>
      <c r="L57" s="41">
        <v>0.70631279264017321</v>
      </c>
      <c r="M57" s="41">
        <v>0.71536231174836984</v>
      </c>
      <c r="N57" s="41">
        <v>0.70175501690282671</v>
      </c>
      <c r="O57" s="41">
        <v>0.70588697840218073</v>
      </c>
      <c r="P57" s="41">
        <v>0.70926480156148342</v>
      </c>
      <c r="Q57" s="41">
        <v>0.72361272797826925</v>
      </c>
      <c r="R57" s="41">
        <v>0.73035883314688921</v>
      </c>
      <c r="S57" s="41">
        <v>0.74121049834430319</v>
      </c>
      <c r="T57" s="89">
        <f t="shared" si="12"/>
        <v>7.3564145177316576</v>
      </c>
      <c r="U57" s="89">
        <f t="shared" si="13"/>
        <v>3.5323519942122461</v>
      </c>
      <c r="V57" s="89">
        <f t="shared" si="14"/>
        <v>1.0851665197413984</v>
      </c>
      <c r="W57" s="146"/>
      <c r="X57" s="147"/>
      <c r="Y57" s="147"/>
    </row>
    <row r="58" spans="1:25" x14ac:dyDescent="0.25">
      <c r="A58" s="81" t="s">
        <v>1</v>
      </c>
      <c r="B58" s="40">
        <v>0.66658579105335991</v>
      </c>
      <c r="C58" s="40">
        <v>0.6912781111500006</v>
      </c>
      <c r="D58" s="40">
        <v>0.70922233792689326</v>
      </c>
      <c r="E58" s="40">
        <v>0.7113320616485761</v>
      </c>
      <c r="F58" s="40">
        <v>0.6846562721474132</v>
      </c>
      <c r="G58" s="40">
        <v>0.68973220651564271</v>
      </c>
      <c r="H58" s="40">
        <v>0.69461321726761271</v>
      </c>
      <c r="I58" s="40">
        <v>0.7024570399536062</v>
      </c>
      <c r="J58" s="40">
        <v>0.71157616916382926</v>
      </c>
      <c r="K58" s="40">
        <v>0.72363000835048441</v>
      </c>
      <c r="L58" s="40">
        <v>0.73983376445526472</v>
      </c>
      <c r="M58" s="40">
        <v>0.74877261002307971</v>
      </c>
      <c r="N58" s="61">
        <v>0.73562169704699432</v>
      </c>
      <c r="O58" s="61">
        <v>0.75559151532642077</v>
      </c>
      <c r="P58" s="61">
        <v>0.75558506614668253</v>
      </c>
      <c r="Q58" s="61">
        <v>0.75949903510144479</v>
      </c>
      <c r="R58" s="61">
        <v>0.76487132988940454</v>
      </c>
      <c r="S58" s="61">
        <v>0.77306330481553465</v>
      </c>
      <c r="T58" s="90">
        <f t="shared" si="12"/>
        <v>6.1487135651705387</v>
      </c>
      <c r="U58" s="90">
        <f t="shared" si="13"/>
        <v>1.7471789489113876</v>
      </c>
      <c r="V58" s="90">
        <f t="shared" si="14"/>
        <v>0.81919749261301078</v>
      </c>
      <c r="W58" s="146"/>
      <c r="X58" s="147"/>
      <c r="Y58" s="147"/>
    </row>
    <row r="59" spans="1:25" x14ac:dyDescent="0.25">
      <c r="A59" s="117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98"/>
      <c r="O59" s="98"/>
      <c r="P59" s="98"/>
      <c r="Q59" s="98"/>
      <c r="T59" s="115"/>
      <c r="U59" s="116"/>
      <c r="V59" s="116"/>
      <c r="W59" s="146"/>
      <c r="X59" s="147"/>
      <c r="Y59" s="147"/>
    </row>
    <row r="60" spans="1:25" ht="18" x14ac:dyDescent="0.25">
      <c r="A60" s="56" t="s">
        <v>341</v>
      </c>
      <c r="B60" s="56"/>
      <c r="C60" s="46"/>
      <c r="D60" s="46"/>
      <c r="E60" s="46"/>
      <c r="F60" s="46"/>
      <c r="G60" s="46"/>
      <c r="H60" s="6"/>
      <c r="I60" s="6"/>
      <c r="J60" s="6"/>
      <c r="K60" s="6"/>
      <c r="L60" s="6"/>
      <c r="M60" s="6"/>
      <c r="N60" s="6"/>
      <c r="O60" s="6"/>
      <c r="P60" s="6"/>
      <c r="Q60" s="6"/>
      <c r="V60" s="12"/>
      <c r="W60" s="146"/>
      <c r="X60" s="147"/>
      <c r="Y60" s="147"/>
    </row>
    <row r="61" spans="1:25" ht="45" customHeight="1" x14ac:dyDescent="0.25">
      <c r="A61" s="14" t="s">
        <v>91</v>
      </c>
      <c r="B61" s="38">
        <v>2007</v>
      </c>
      <c r="C61" s="38">
        <v>2008</v>
      </c>
      <c r="D61" s="38">
        <v>2009</v>
      </c>
      <c r="E61" s="38">
        <v>2010</v>
      </c>
      <c r="F61" s="38">
        <v>2011</v>
      </c>
      <c r="G61" s="38">
        <v>2012</v>
      </c>
      <c r="H61" s="38">
        <v>2013</v>
      </c>
      <c r="I61" s="38">
        <v>2014</v>
      </c>
      <c r="J61" s="38">
        <v>2015</v>
      </c>
      <c r="K61" s="38">
        <v>2016</v>
      </c>
      <c r="L61" s="38">
        <v>2017</v>
      </c>
      <c r="M61" s="38">
        <v>2018</v>
      </c>
      <c r="N61" s="38">
        <v>2019</v>
      </c>
      <c r="O61" s="38">
        <v>2020</v>
      </c>
      <c r="P61" s="38">
        <v>2021</v>
      </c>
      <c r="Q61" s="38">
        <v>2022</v>
      </c>
      <c r="R61" s="38">
        <v>2023</v>
      </c>
      <c r="S61" s="38">
        <v>2024</v>
      </c>
      <c r="T61" s="39" t="s">
        <v>373</v>
      </c>
      <c r="U61" s="39" t="s">
        <v>374</v>
      </c>
      <c r="V61" s="39" t="s">
        <v>375</v>
      </c>
      <c r="W61" s="146"/>
      <c r="X61" s="147"/>
      <c r="Y61" s="147"/>
    </row>
    <row r="62" spans="1:25" x14ac:dyDescent="0.25">
      <c r="A62" s="81" t="s">
        <v>258</v>
      </c>
      <c r="B62" s="40">
        <v>0.71458872662358619</v>
      </c>
      <c r="C62" s="40">
        <v>0.72530870174215578</v>
      </c>
      <c r="D62" s="40">
        <v>0.7422180937289401</v>
      </c>
      <c r="E62" s="40">
        <v>0.75585342355260798</v>
      </c>
      <c r="F62" s="40">
        <v>0.72630535213764225</v>
      </c>
      <c r="G62" s="40">
        <v>0.73331488842713888</v>
      </c>
      <c r="H62" s="40">
        <v>0.73655551055308044</v>
      </c>
      <c r="I62" s="40">
        <v>0.7495106495437569</v>
      </c>
      <c r="J62" s="40">
        <v>0.75890282301518974</v>
      </c>
      <c r="K62" s="40">
        <v>0.76646209888860528</v>
      </c>
      <c r="L62" s="40">
        <v>0.78023603130717389</v>
      </c>
      <c r="M62" s="40">
        <v>0.78639294100086687</v>
      </c>
      <c r="N62" s="61">
        <v>0.78631126280634933</v>
      </c>
      <c r="O62" s="61">
        <v>0.82578151601861416</v>
      </c>
      <c r="P62" s="61">
        <v>0.80755510892497195</v>
      </c>
      <c r="Q62" s="61">
        <v>0.80417667316144814</v>
      </c>
      <c r="R62" s="61">
        <v>0.80886287378238952</v>
      </c>
      <c r="S62" s="61">
        <v>0.81767261088248744</v>
      </c>
      <c r="T62" s="90">
        <f t="shared" ref="T62:T84" si="15">(S62-J62)*100</f>
        <v>5.8769787867297696</v>
      </c>
      <c r="U62" s="90">
        <f t="shared" ref="U62:U84" si="16">(S62-O62)*100</f>
        <v>-0.81089051361267206</v>
      </c>
      <c r="V62" s="90">
        <f t="shared" ref="V62:V84" si="17">(S62-R62)*100</f>
        <v>0.88097371000979141</v>
      </c>
      <c r="W62" s="146"/>
      <c r="X62" s="147"/>
      <c r="Y62" s="147"/>
    </row>
    <row r="63" spans="1:25" x14ac:dyDescent="0.25">
      <c r="A63" s="30" t="s">
        <v>5</v>
      </c>
      <c r="B63" s="62">
        <v>0.70270000499076712</v>
      </c>
      <c r="C63" s="62">
        <v>0.70731471171999805</v>
      </c>
      <c r="D63" s="62">
        <v>0.71189287335451656</v>
      </c>
      <c r="E63" s="62">
        <v>0.73555284313312852</v>
      </c>
      <c r="F63" s="62">
        <v>0.70725294284211804</v>
      </c>
      <c r="G63" s="62">
        <v>0.7374440576827449</v>
      </c>
      <c r="H63" s="62">
        <v>0.73046030274945939</v>
      </c>
      <c r="I63" s="62">
        <v>0.74777492834515014</v>
      </c>
      <c r="J63" s="62">
        <v>0.75240421309723704</v>
      </c>
      <c r="K63" s="62">
        <v>0.75853449507213255</v>
      </c>
      <c r="L63" s="62">
        <v>0.75340414914094245</v>
      </c>
      <c r="M63" s="62">
        <v>0.77065195036676493</v>
      </c>
      <c r="N63" s="41">
        <v>0.77145209087915712</v>
      </c>
      <c r="O63" s="41">
        <v>0.80359298964545756</v>
      </c>
      <c r="P63" s="41">
        <v>0.78185064594055242</v>
      </c>
      <c r="Q63" s="41">
        <v>0.78418021680216798</v>
      </c>
      <c r="R63" s="41">
        <v>0.78842790809865526</v>
      </c>
      <c r="S63" s="41">
        <v>0.79279202763150447</v>
      </c>
      <c r="T63" s="89">
        <f t="shared" si="15"/>
        <v>4.0387814534267434</v>
      </c>
      <c r="U63" s="89">
        <f t="shared" si="16"/>
        <v>-1.0800962013953086</v>
      </c>
      <c r="V63" s="89">
        <f t="shared" si="17"/>
        <v>0.43641195328492088</v>
      </c>
      <c r="W63" s="146"/>
      <c r="X63" s="147"/>
      <c r="Y63" s="147"/>
    </row>
    <row r="64" spans="1:25" x14ac:dyDescent="0.25">
      <c r="A64" s="30" t="s">
        <v>6</v>
      </c>
      <c r="B64" s="62">
        <v>0.79032631335339043</v>
      </c>
      <c r="C64" s="62">
        <v>0.75282392026578071</v>
      </c>
      <c r="D64" s="62">
        <v>0.78154998829313982</v>
      </c>
      <c r="E64" s="62">
        <v>0.7892875189489641</v>
      </c>
      <c r="F64" s="62">
        <v>0.76594623089088032</v>
      </c>
      <c r="G64" s="62">
        <v>0.78569401078626167</v>
      </c>
      <c r="H64" s="62">
        <v>0.76526378186129218</v>
      </c>
      <c r="I64" s="62">
        <v>0.77774498229043687</v>
      </c>
      <c r="J64" s="62">
        <v>0.79700053561863948</v>
      </c>
      <c r="K64" s="62">
        <v>0.81009197116579668</v>
      </c>
      <c r="L64" s="62">
        <v>0.81687528975428836</v>
      </c>
      <c r="M64" s="62">
        <v>0.81426349700066647</v>
      </c>
      <c r="N64" s="41">
        <v>0.82084284824579612</v>
      </c>
      <c r="O64" s="41">
        <v>0.84157650695517772</v>
      </c>
      <c r="P64" s="41">
        <v>0.8441558441558441</v>
      </c>
      <c r="Q64" s="41">
        <v>0.83674201650520275</v>
      </c>
      <c r="R64" s="41">
        <v>0.83974656158244476</v>
      </c>
      <c r="S64" s="41">
        <v>0.852089552238806</v>
      </c>
      <c r="T64" s="89">
        <f t="shared" si="15"/>
        <v>5.508901662016652</v>
      </c>
      <c r="U64" s="89">
        <f t="shared" si="16"/>
        <v>1.0513045283628286</v>
      </c>
      <c r="V64" s="89">
        <f t="shared" si="17"/>
        <v>1.2342990656361241</v>
      </c>
      <c r="W64" s="146"/>
      <c r="X64" s="147"/>
      <c r="Y64" s="147"/>
    </row>
    <row r="65" spans="1:25" x14ac:dyDescent="0.25">
      <c r="A65" s="30" t="s">
        <v>7</v>
      </c>
      <c r="B65" s="62">
        <v>0.677576482652538</v>
      </c>
      <c r="C65" s="62">
        <v>0.67440852760204528</v>
      </c>
      <c r="D65" s="62">
        <v>0.70222379728891648</v>
      </c>
      <c r="E65" s="62">
        <v>0.70112781954887216</v>
      </c>
      <c r="F65" s="62">
        <v>0.67674755523361096</v>
      </c>
      <c r="G65" s="62">
        <v>0.70939922480620154</v>
      </c>
      <c r="H65" s="62">
        <v>0.69057009680889203</v>
      </c>
      <c r="I65" s="62">
        <v>0.70725660341375041</v>
      </c>
      <c r="J65" s="62">
        <v>0.72794600168744727</v>
      </c>
      <c r="K65" s="62">
        <v>0.74714164225644897</v>
      </c>
      <c r="L65" s="62">
        <v>0.77316149963950975</v>
      </c>
      <c r="M65" s="62">
        <v>0.76612971240617356</v>
      </c>
      <c r="N65" s="41">
        <v>0.75691841454661457</v>
      </c>
      <c r="O65" s="41">
        <v>0.78267266040049044</v>
      </c>
      <c r="P65" s="41">
        <v>0.78349829493470846</v>
      </c>
      <c r="Q65" s="41">
        <v>0.79967558799675587</v>
      </c>
      <c r="R65" s="41">
        <v>0.81149839743589747</v>
      </c>
      <c r="S65" s="41">
        <v>0.78923797245029514</v>
      </c>
      <c r="T65" s="89">
        <f t="shared" si="15"/>
        <v>6.1291970762847869</v>
      </c>
      <c r="U65" s="89">
        <f t="shared" si="16"/>
        <v>0.65653120498047057</v>
      </c>
      <c r="V65" s="89">
        <f t="shared" si="17"/>
        <v>-2.2260424985602323</v>
      </c>
      <c r="W65" s="146"/>
      <c r="X65" s="147"/>
      <c r="Y65" s="147"/>
    </row>
    <row r="66" spans="1:25" x14ac:dyDescent="0.25">
      <c r="A66" s="30" t="s">
        <v>8</v>
      </c>
      <c r="B66" s="62">
        <v>0.68419859442303332</v>
      </c>
      <c r="C66" s="62">
        <v>0.6545741324921136</v>
      </c>
      <c r="D66" s="62">
        <v>0.66358167515039335</v>
      </c>
      <c r="E66" s="62">
        <v>0.69625460056289246</v>
      </c>
      <c r="F66" s="62">
        <v>0.65270425776754892</v>
      </c>
      <c r="G66" s="62">
        <v>0.66614941254710702</v>
      </c>
      <c r="H66" s="62">
        <v>0.67775467775467779</v>
      </c>
      <c r="I66" s="62">
        <v>0.70146661520648401</v>
      </c>
      <c r="J66" s="62">
        <v>0.69118788819875776</v>
      </c>
      <c r="K66" s="62">
        <v>0.68230638778971175</v>
      </c>
      <c r="L66" s="62">
        <v>0.718028940164255</v>
      </c>
      <c r="M66" s="62">
        <v>0.73957115009746588</v>
      </c>
      <c r="N66" s="41">
        <v>0.72417008578888475</v>
      </c>
      <c r="O66" s="41">
        <v>0.77631082610335722</v>
      </c>
      <c r="P66" s="41">
        <v>0.75004955401387507</v>
      </c>
      <c r="Q66" s="41">
        <v>0.7230831973898858</v>
      </c>
      <c r="R66" s="41">
        <v>0.72747212575397546</v>
      </c>
      <c r="S66" s="41">
        <v>0.77061442564559213</v>
      </c>
      <c r="T66" s="89">
        <f t="shared" si="15"/>
        <v>7.9426537446834367</v>
      </c>
      <c r="U66" s="89">
        <f t="shared" si="16"/>
        <v>-0.5696400457765094</v>
      </c>
      <c r="V66" s="89">
        <f t="shared" si="17"/>
        <v>4.3142299891616664</v>
      </c>
      <c r="W66" s="146"/>
      <c r="X66" s="147"/>
      <c r="Y66" s="147"/>
    </row>
    <row r="67" spans="1:25" x14ac:dyDescent="0.25">
      <c r="A67" s="30" t="s">
        <v>9</v>
      </c>
      <c r="B67" s="62">
        <v>0.744098955969133</v>
      </c>
      <c r="C67" s="62">
        <v>0.73876451775795315</v>
      </c>
      <c r="D67" s="62">
        <v>0.74996013394992822</v>
      </c>
      <c r="E67" s="62">
        <v>0.75564002567013877</v>
      </c>
      <c r="F67" s="62">
        <v>0.72305795314426635</v>
      </c>
      <c r="G67" s="62">
        <v>0.73090102801854462</v>
      </c>
      <c r="H67" s="62">
        <v>0.73872826526486046</v>
      </c>
      <c r="I67" s="62">
        <v>0.75354269400467166</v>
      </c>
      <c r="J67" s="62">
        <v>0.77104169007753676</v>
      </c>
      <c r="K67" s="62">
        <v>0.76752589737412669</v>
      </c>
      <c r="L67" s="62">
        <v>0.78063241106719372</v>
      </c>
      <c r="M67" s="62">
        <v>0.79053836605213557</v>
      </c>
      <c r="N67" s="41">
        <v>0.79167778074153106</v>
      </c>
      <c r="O67" s="41">
        <v>0.83134087237479803</v>
      </c>
      <c r="P67" s="41">
        <v>0.82452542003054763</v>
      </c>
      <c r="Q67" s="41">
        <v>0.81877867093135814</v>
      </c>
      <c r="R67" s="41">
        <v>0.82269343559666142</v>
      </c>
      <c r="S67" s="41">
        <v>0.84238796807857586</v>
      </c>
      <c r="T67" s="89">
        <f t="shared" si="15"/>
        <v>7.1346278001039103</v>
      </c>
      <c r="U67" s="89">
        <f t="shared" si="16"/>
        <v>1.1047095703777821</v>
      </c>
      <c r="V67" s="89">
        <f t="shared" si="17"/>
        <v>1.969453248191444</v>
      </c>
      <c r="W67" s="146"/>
      <c r="X67" s="147"/>
      <c r="Y67" s="147"/>
    </row>
    <row r="68" spans="1:25" x14ac:dyDescent="0.25">
      <c r="A68" s="30" t="s">
        <v>10</v>
      </c>
      <c r="B68" s="62">
        <v>0.53145093653899911</v>
      </c>
      <c r="C68" s="62">
        <v>0.70745894160583944</v>
      </c>
      <c r="D68" s="62">
        <v>0.72193968066232994</v>
      </c>
      <c r="E68" s="62">
        <v>0.7562679306473743</v>
      </c>
      <c r="F68" s="62">
        <v>0.73481681829358247</v>
      </c>
      <c r="G68" s="62">
        <v>0.73954133064516125</v>
      </c>
      <c r="H68" s="62">
        <v>0.75307973466901312</v>
      </c>
      <c r="I68" s="62">
        <v>0.7445687952600395</v>
      </c>
      <c r="J68" s="62">
        <v>0.76728049105951424</v>
      </c>
      <c r="K68" s="62">
        <v>0.76706979087931471</v>
      </c>
      <c r="L68" s="62">
        <v>0.77600472813238774</v>
      </c>
      <c r="M68" s="62">
        <v>0.78852066962760503</v>
      </c>
      <c r="N68" s="41">
        <v>0.78835037794575369</v>
      </c>
      <c r="O68" s="41">
        <v>0.8461104211358248</v>
      </c>
      <c r="P68" s="41">
        <v>0.81301167994760393</v>
      </c>
      <c r="Q68" s="41">
        <v>0.81180728342004072</v>
      </c>
      <c r="R68" s="41">
        <v>0.83194641769839661</v>
      </c>
      <c r="S68" s="41">
        <v>0.84154823102509824</v>
      </c>
      <c r="T68" s="89">
        <f t="shared" si="15"/>
        <v>7.4267739965584001</v>
      </c>
      <c r="U68" s="89">
        <f t="shared" si="16"/>
        <v>-0.45621901107265606</v>
      </c>
      <c r="V68" s="89">
        <f t="shared" si="17"/>
        <v>0.96018133267016248</v>
      </c>
      <c r="W68" s="146"/>
      <c r="X68" s="147"/>
      <c r="Y68" s="147"/>
    </row>
    <row r="69" spans="1:25" x14ac:dyDescent="0.25">
      <c r="A69" s="30" t="s">
        <v>11</v>
      </c>
      <c r="B69" s="62">
        <v>0.74447804616621371</v>
      </c>
      <c r="C69" s="62">
        <v>0.74772071113812488</v>
      </c>
      <c r="D69" s="62">
        <v>0.75574578282919114</v>
      </c>
      <c r="E69" s="62">
        <v>0.77115303163587789</v>
      </c>
      <c r="F69" s="62">
        <v>0.7447233121363821</v>
      </c>
      <c r="G69" s="62">
        <v>0.72301913790019678</v>
      </c>
      <c r="H69" s="62">
        <v>0.73946344626357596</v>
      </c>
      <c r="I69" s="62">
        <v>0.7525032449471537</v>
      </c>
      <c r="J69" s="62">
        <v>0.76401774909237596</v>
      </c>
      <c r="K69" s="62">
        <v>0.78621769772905248</v>
      </c>
      <c r="L69" s="62">
        <v>0.8217646014557074</v>
      </c>
      <c r="M69" s="62">
        <v>0.81254502133318562</v>
      </c>
      <c r="N69" s="41">
        <v>0.80305308199375502</v>
      </c>
      <c r="O69" s="41">
        <v>0.85593834398260982</v>
      </c>
      <c r="P69" s="41">
        <v>0.83625636466499631</v>
      </c>
      <c r="Q69" s="41">
        <v>0.83346190108854035</v>
      </c>
      <c r="R69" s="41">
        <v>0.83950061136495269</v>
      </c>
      <c r="S69" s="41">
        <v>0.84011078937429184</v>
      </c>
      <c r="T69" s="89">
        <f t="shared" si="15"/>
        <v>7.6093040281915876</v>
      </c>
      <c r="U69" s="89">
        <f t="shared" si="16"/>
        <v>-1.5827554608317973</v>
      </c>
      <c r="V69" s="89">
        <f t="shared" si="17"/>
        <v>6.1017800933915733E-2</v>
      </c>
      <c r="W69" s="146"/>
      <c r="X69" s="147"/>
      <c r="Y69" s="147"/>
    </row>
    <row r="70" spans="1:25" x14ac:dyDescent="0.25">
      <c r="A70" s="30" t="s">
        <v>12</v>
      </c>
      <c r="B70" s="62">
        <v>0.71901951883794823</v>
      </c>
      <c r="C70" s="62">
        <v>0.59740840035746201</v>
      </c>
      <c r="D70" s="62">
        <v>0.7034324942791762</v>
      </c>
      <c r="E70" s="62">
        <v>0.73627323821876356</v>
      </c>
      <c r="F70" s="62">
        <v>0.67863036303630364</v>
      </c>
      <c r="G70" s="62">
        <v>0.6815960912052117</v>
      </c>
      <c r="H70" s="62">
        <v>0.68804780876494021</v>
      </c>
      <c r="I70" s="62">
        <v>0.71657986111111116</v>
      </c>
      <c r="J70" s="62">
        <v>0.72125435540069682</v>
      </c>
      <c r="K70" s="62">
        <v>0.73411446597566477</v>
      </c>
      <c r="L70" s="62">
        <v>0.74476439790575921</v>
      </c>
      <c r="M70" s="62">
        <v>0.73128777312877735</v>
      </c>
      <c r="N70" s="41">
        <v>0.72096385542168673</v>
      </c>
      <c r="O70" s="41">
        <v>0.81201665675193335</v>
      </c>
      <c r="P70" s="41">
        <v>0.78519755147468007</v>
      </c>
      <c r="Q70" s="41">
        <v>0.77140029688273137</v>
      </c>
      <c r="R70" s="41">
        <v>0.78334091943559403</v>
      </c>
      <c r="S70" s="41">
        <v>0.75379344101811063</v>
      </c>
      <c r="T70" s="89">
        <f t="shared" si="15"/>
        <v>3.253908561741381</v>
      </c>
      <c r="U70" s="89">
        <f t="shared" si="16"/>
        <v>-5.822321573382272</v>
      </c>
      <c r="V70" s="89">
        <f t="shared" si="17"/>
        <v>-2.9547478417483397</v>
      </c>
      <c r="W70" s="146"/>
      <c r="X70" s="147"/>
      <c r="Y70" s="147"/>
    </row>
    <row r="71" spans="1:25" x14ac:dyDescent="0.25">
      <c r="A71" s="30" t="s">
        <v>13</v>
      </c>
      <c r="B71" s="62">
        <v>0.78064417646160889</v>
      </c>
      <c r="C71" s="62">
        <v>0.78686482539409819</v>
      </c>
      <c r="D71" s="62">
        <v>0.8123362527135265</v>
      </c>
      <c r="E71" s="62">
        <v>0.81591556591556591</v>
      </c>
      <c r="F71" s="62">
        <v>0.7814133765999639</v>
      </c>
      <c r="G71" s="62">
        <v>0.76113313796471871</v>
      </c>
      <c r="H71" s="62">
        <v>0.79125669049068936</v>
      </c>
      <c r="I71" s="62">
        <v>0.79835569017741237</v>
      </c>
      <c r="J71" s="62">
        <v>0.81358551415997582</v>
      </c>
      <c r="K71" s="62">
        <v>0.81710577800965178</v>
      </c>
      <c r="L71" s="62">
        <v>0.82725284478113414</v>
      </c>
      <c r="M71" s="62">
        <v>0.82926750875839683</v>
      </c>
      <c r="N71" s="41">
        <v>0.83581888116607062</v>
      </c>
      <c r="O71" s="41">
        <v>0.88268965517241382</v>
      </c>
      <c r="P71" s="41">
        <v>0.86003945283445982</v>
      </c>
      <c r="Q71" s="41">
        <v>0.8568993245416533</v>
      </c>
      <c r="R71" s="41">
        <v>0.84914419160994503</v>
      </c>
      <c r="S71" s="41">
        <v>0.8654321322870564</v>
      </c>
      <c r="T71" s="89">
        <f t="shared" si="15"/>
        <v>5.1846618127080575</v>
      </c>
      <c r="U71" s="89">
        <f t="shared" si="16"/>
        <v>-1.7257522885357424</v>
      </c>
      <c r="V71" s="89">
        <f t="shared" si="17"/>
        <v>1.6287940677111368</v>
      </c>
      <c r="W71" s="146"/>
      <c r="X71" s="147"/>
      <c r="Y71" s="147"/>
    </row>
    <row r="72" spans="1:25" x14ac:dyDescent="0.25">
      <c r="A72" s="30" t="s">
        <v>14</v>
      </c>
      <c r="B72" s="62">
        <v>0.70986173008798992</v>
      </c>
      <c r="C72" s="62">
        <v>0.70631013016412003</v>
      </c>
      <c r="D72" s="62">
        <v>0.72038634900193177</v>
      </c>
      <c r="E72" s="62">
        <v>0.73192344045368618</v>
      </c>
      <c r="F72" s="62">
        <v>0.70118529213142999</v>
      </c>
      <c r="G72" s="62">
        <v>0.72636409504817279</v>
      </c>
      <c r="H72" s="62">
        <v>0.71601311363733133</v>
      </c>
      <c r="I72" s="62">
        <v>0.73087416784895776</v>
      </c>
      <c r="J72" s="62">
        <v>0.73076120959332636</v>
      </c>
      <c r="K72" s="62">
        <v>0.73786704970918593</v>
      </c>
      <c r="L72" s="62">
        <v>0.75411019907084231</v>
      </c>
      <c r="M72" s="62">
        <v>0.76283466078111506</v>
      </c>
      <c r="N72" s="41">
        <v>0.76847710821153581</v>
      </c>
      <c r="O72" s="41">
        <v>0.79963876888530916</v>
      </c>
      <c r="P72" s="41">
        <v>0.77752364615347958</v>
      </c>
      <c r="Q72" s="41">
        <v>0.77213330409997805</v>
      </c>
      <c r="R72" s="41">
        <v>0.78000522641579872</v>
      </c>
      <c r="S72" s="41">
        <v>0.79067476027095984</v>
      </c>
      <c r="T72" s="89">
        <f t="shared" si="15"/>
        <v>5.9913550677633491</v>
      </c>
      <c r="U72" s="89">
        <f t="shared" si="16"/>
        <v>-0.8964008614349317</v>
      </c>
      <c r="V72" s="89">
        <f t="shared" si="17"/>
        <v>1.0669533855161117</v>
      </c>
      <c r="W72" s="146"/>
      <c r="X72" s="147"/>
      <c r="Y72" s="147"/>
    </row>
    <row r="73" spans="1:25" x14ac:dyDescent="0.25">
      <c r="A73" s="81" t="s">
        <v>58</v>
      </c>
      <c r="B73" s="40">
        <v>0.56359267896261744</v>
      </c>
      <c r="C73" s="40">
        <v>0.62715286562226336</v>
      </c>
      <c r="D73" s="40">
        <v>0.65399896355156328</v>
      </c>
      <c r="E73" s="40">
        <v>0.6437828788020431</v>
      </c>
      <c r="F73" s="40">
        <v>0.62677259919626771</v>
      </c>
      <c r="G73" s="40">
        <v>0.63399169525185051</v>
      </c>
      <c r="H73" s="40">
        <v>0.64531443193313986</v>
      </c>
      <c r="I73" s="40">
        <v>0.65034767115004855</v>
      </c>
      <c r="J73" s="40">
        <v>0.66092565029413852</v>
      </c>
      <c r="K73" s="40">
        <v>0.67431765515122777</v>
      </c>
      <c r="L73" s="40">
        <v>0.69195924558620836</v>
      </c>
      <c r="M73" s="40">
        <v>0.70279921425564751</v>
      </c>
      <c r="N73" s="61">
        <v>0.67145687737394399</v>
      </c>
      <c r="O73" s="61">
        <v>0.66058042970234576</v>
      </c>
      <c r="P73" s="61">
        <v>0.68610644081645478</v>
      </c>
      <c r="Q73" s="61">
        <v>0.69892332739448304</v>
      </c>
      <c r="R73" s="61">
        <v>0.69739338104703097</v>
      </c>
      <c r="S73" s="61">
        <v>0.70137921533209857</v>
      </c>
      <c r="T73" s="90">
        <f t="shared" si="15"/>
        <v>4.0453565037960049</v>
      </c>
      <c r="U73" s="90">
        <f t="shared" si="16"/>
        <v>4.0798785629752814</v>
      </c>
      <c r="V73" s="90">
        <f t="shared" si="17"/>
        <v>0.39858342850676021</v>
      </c>
      <c r="W73" s="146"/>
      <c r="X73" s="147"/>
      <c r="Y73" s="147"/>
    </row>
    <row r="74" spans="1:25" x14ac:dyDescent="0.25">
      <c r="A74" s="30" t="s">
        <v>5</v>
      </c>
      <c r="B74" s="41">
        <v>0.57116085372201975</v>
      </c>
      <c r="C74" s="41">
        <v>0.60116294436368445</v>
      </c>
      <c r="D74" s="41">
        <v>0.63625721866708285</v>
      </c>
      <c r="E74" s="41">
        <v>0.62287860679528773</v>
      </c>
      <c r="F74" s="41">
        <v>0.61508704061895547</v>
      </c>
      <c r="G74" s="41">
        <v>0.62166313396614747</v>
      </c>
      <c r="H74" s="41">
        <v>0.6480934919357243</v>
      </c>
      <c r="I74" s="41">
        <v>0.65109735509285316</v>
      </c>
      <c r="J74" s="41">
        <v>0.67756250950956032</v>
      </c>
      <c r="K74" s="41">
        <v>0.68135924703581474</v>
      </c>
      <c r="L74" s="41">
        <v>0.69421760081156481</v>
      </c>
      <c r="M74" s="41">
        <v>0.70543114543114538</v>
      </c>
      <c r="N74" s="41">
        <v>0.66738347400677378</v>
      </c>
      <c r="O74" s="41">
        <v>0.66710606693888053</v>
      </c>
      <c r="P74" s="41">
        <v>0.68027666220437299</v>
      </c>
      <c r="Q74" s="41">
        <v>0.69076797385620914</v>
      </c>
      <c r="R74" s="41">
        <v>0.69627217971675082</v>
      </c>
      <c r="S74" s="41">
        <v>0.69290671532371051</v>
      </c>
      <c r="T74" s="89">
        <f t="shared" si="15"/>
        <v>1.5344205814150191</v>
      </c>
      <c r="U74" s="89">
        <f t="shared" si="16"/>
        <v>2.5800648384829983</v>
      </c>
      <c r="V74" s="89">
        <f t="shared" si="17"/>
        <v>-0.33654643930403072</v>
      </c>
      <c r="W74" s="146"/>
      <c r="X74" s="147"/>
      <c r="Y74" s="147"/>
    </row>
    <row r="75" spans="1:25" x14ac:dyDescent="0.25">
      <c r="A75" s="30" t="s">
        <v>6</v>
      </c>
      <c r="B75" s="41">
        <v>0.5962264150943396</v>
      </c>
      <c r="C75" s="41">
        <v>0.61197916666666663</v>
      </c>
      <c r="D75" s="41">
        <v>0.68103065304309196</v>
      </c>
      <c r="E75" s="41">
        <v>0.66861773975686623</v>
      </c>
      <c r="F75" s="41">
        <v>0.66680832979175519</v>
      </c>
      <c r="G75" s="41">
        <v>0.69768370607028751</v>
      </c>
      <c r="H75" s="41">
        <v>0.65332296929654099</v>
      </c>
      <c r="I75" s="41">
        <v>0.69607843137254899</v>
      </c>
      <c r="J75" s="41">
        <v>0.69625825385179752</v>
      </c>
      <c r="K75" s="41">
        <v>0.70341371750704662</v>
      </c>
      <c r="L75" s="41">
        <v>0.71031146053825223</v>
      </c>
      <c r="M75" s="41">
        <v>0.71391899600684539</v>
      </c>
      <c r="N75" s="41">
        <v>0.67262367262367262</v>
      </c>
      <c r="O75" s="41">
        <v>0.63974617825209112</v>
      </c>
      <c r="P75" s="41">
        <v>0.69659595461272816</v>
      </c>
      <c r="Q75" s="41">
        <v>0.7435300207039337</v>
      </c>
      <c r="R75" s="41">
        <v>0.74329774614472122</v>
      </c>
      <c r="S75" s="41">
        <v>0.75135623869801083</v>
      </c>
      <c r="T75" s="89">
        <f t="shared" si="15"/>
        <v>5.5097984846213315</v>
      </c>
      <c r="U75" s="89">
        <f t="shared" si="16"/>
        <v>11.16100604459197</v>
      </c>
      <c r="V75" s="89">
        <f t="shared" si="17"/>
        <v>0.8058492553289609</v>
      </c>
      <c r="W75" s="146"/>
      <c r="X75" s="147"/>
      <c r="Y75" s="147"/>
    </row>
    <row r="76" spans="1:25" x14ac:dyDescent="0.25">
      <c r="A76" s="30" t="s">
        <v>7</v>
      </c>
      <c r="B76" s="41">
        <v>0.58888888888888891</v>
      </c>
      <c r="C76" s="41">
        <v>0.61019149626744562</v>
      </c>
      <c r="D76" s="41">
        <v>0.60277463193657987</v>
      </c>
      <c r="E76" s="41">
        <v>0.57865452706120379</v>
      </c>
      <c r="F76" s="41">
        <v>0.59088693957115013</v>
      </c>
      <c r="G76" s="41">
        <v>0.58972198820556021</v>
      </c>
      <c r="H76" s="41">
        <v>0.62159064863625946</v>
      </c>
      <c r="I76" s="41">
        <v>0.61648983200707341</v>
      </c>
      <c r="J76" s="41">
        <v>0.63820612332902116</v>
      </c>
      <c r="K76" s="41">
        <v>0.6583281217427559</v>
      </c>
      <c r="L76" s="41">
        <v>0.6743878226340172</v>
      </c>
      <c r="M76" s="41">
        <v>0.68200654307524533</v>
      </c>
      <c r="N76" s="41">
        <v>0.62590476190476185</v>
      </c>
      <c r="O76" s="41">
        <v>0.6328250401284109</v>
      </c>
      <c r="P76" s="41">
        <v>0.70502861815208506</v>
      </c>
      <c r="Q76" s="41">
        <v>0.71547264461514348</v>
      </c>
      <c r="R76" s="41">
        <v>0.70433875055911732</v>
      </c>
      <c r="S76" s="41">
        <v>0.70566099476439792</v>
      </c>
      <c r="T76" s="89">
        <f t="shared" si="15"/>
        <v>6.7454871435376766</v>
      </c>
      <c r="U76" s="89">
        <f t="shared" si="16"/>
        <v>7.2835954635987026</v>
      </c>
      <c r="V76" s="89">
        <f t="shared" si="17"/>
        <v>0.13222442052805983</v>
      </c>
      <c r="W76" s="146"/>
      <c r="X76" s="147"/>
      <c r="Y76" s="147"/>
    </row>
    <row r="77" spans="1:25" x14ac:dyDescent="0.25">
      <c r="A77" s="30" t="s">
        <v>8</v>
      </c>
      <c r="B77" s="41">
        <v>0.6371308016877637</v>
      </c>
      <c r="C77" s="41">
        <v>0.68151815181518149</v>
      </c>
      <c r="D77" s="41">
        <v>0.69985569985569984</v>
      </c>
      <c r="E77" s="41">
        <v>0.66972477064220182</v>
      </c>
      <c r="F77" s="41">
        <v>0.53359683794466406</v>
      </c>
      <c r="G77" s="41">
        <v>0.61845386533665836</v>
      </c>
      <c r="H77" s="41">
        <v>0.62668377164849265</v>
      </c>
      <c r="I77" s="41">
        <v>0.65765765765765771</v>
      </c>
      <c r="J77" s="41">
        <v>0.64958677685950417</v>
      </c>
      <c r="K77" s="41">
        <v>0.70902160101651845</v>
      </c>
      <c r="L77" s="41">
        <v>0.74029850746268655</v>
      </c>
      <c r="M77" s="41">
        <v>0.74526928675400295</v>
      </c>
      <c r="N77" s="41">
        <v>0.71103896103896103</v>
      </c>
      <c r="O77" s="41">
        <v>0.69369369369369371</v>
      </c>
      <c r="P77" s="41">
        <v>0.67088607594936711</v>
      </c>
      <c r="Q77" s="41">
        <v>0.67272727272727273</v>
      </c>
      <c r="R77" s="41">
        <v>0.6875</v>
      </c>
      <c r="S77" s="41">
        <v>0.73056057866184454</v>
      </c>
      <c r="T77" s="89">
        <f t="shared" si="15"/>
        <v>8.0973801802340368</v>
      </c>
      <c r="U77" s="89">
        <f t="shared" si="16"/>
        <v>3.6866884968150826</v>
      </c>
      <c r="V77" s="89">
        <f t="shared" si="17"/>
        <v>4.306057866184454</v>
      </c>
      <c r="W77" s="146"/>
      <c r="X77" s="147"/>
      <c r="Y77" s="147"/>
    </row>
    <row r="78" spans="1:25" x14ac:dyDescent="0.25">
      <c r="A78" s="30" t="s">
        <v>9</v>
      </c>
      <c r="B78" s="41">
        <v>0.65353881278538817</v>
      </c>
      <c r="C78" s="41">
        <v>0.66541353383458646</v>
      </c>
      <c r="D78" s="41">
        <v>0.70531573314306095</v>
      </c>
      <c r="E78" s="41">
        <v>0.68595041322314054</v>
      </c>
      <c r="F78" s="41">
        <v>0.68225764306245096</v>
      </c>
      <c r="G78" s="41">
        <v>0.65739910313901351</v>
      </c>
      <c r="H78" s="41">
        <v>0.68780591615237285</v>
      </c>
      <c r="I78" s="41">
        <v>0.68733754177497219</v>
      </c>
      <c r="J78" s="41">
        <v>0.65933905954287375</v>
      </c>
      <c r="K78" s="41">
        <v>0.68773538562305547</v>
      </c>
      <c r="L78" s="41">
        <v>0.69393299124660424</v>
      </c>
      <c r="M78" s="41">
        <v>0.69472685373458043</v>
      </c>
      <c r="N78" s="41">
        <v>0.69058178972084527</v>
      </c>
      <c r="O78" s="41">
        <v>0.6660647312126684</v>
      </c>
      <c r="P78" s="41">
        <v>0.6744683528375488</v>
      </c>
      <c r="Q78" s="41">
        <v>0.68109069353882634</v>
      </c>
      <c r="R78" s="41">
        <v>0.67022499589423545</v>
      </c>
      <c r="S78" s="41">
        <v>0.68144090305444882</v>
      </c>
      <c r="T78" s="89">
        <f t="shared" si="15"/>
        <v>2.210184351157507</v>
      </c>
      <c r="U78" s="89">
        <f t="shared" si="16"/>
        <v>1.5376171841780417</v>
      </c>
      <c r="V78" s="89">
        <f t="shared" si="17"/>
        <v>1.1215907160213368</v>
      </c>
      <c r="W78" s="146"/>
      <c r="X78" s="147"/>
      <c r="Y78" s="147"/>
    </row>
    <row r="79" spans="1:25" x14ac:dyDescent="0.25">
      <c r="A79" s="30" t="s">
        <v>10</v>
      </c>
      <c r="B79" s="41">
        <v>0.36157075821190415</v>
      </c>
      <c r="C79" s="41">
        <v>0.63263643768666844</v>
      </c>
      <c r="D79" s="41">
        <v>0.66616405307599513</v>
      </c>
      <c r="E79" s="41">
        <v>0.61100131752305664</v>
      </c>
      <c r="F79" s="41">
        <v>0.60676156583629892</v>
      </c>
      <c r="G79" s="41">
        <v>0.58454106280193241</v>
      </c>
      <c r="H79" s="41">
        <v>0.62254901960784315</v>
      </c>
      <c r="I79" s="41">
        <v>0.61268209083119107</v>
      </c>
      <c r="J79" s="41">
        <v>0.63325183374083127</v>
      </c>
      <c r="K79" s="41">
        <v>0.64214350590372393</v>
      </c>
      <c r="L79" s="41">
        <v>0.63410301953818826</v>
      </c>
      <c r="M79" s="41">
        <v>0.65357766143106455</v>
      </c>
      <c r="N79" s="41">
        <v>0.63196721311475412</v>
      </c>
      <c r="O79" s="41">
        <v>0.66995447647951445</v>
      </c>
      <c r="P79" s="41">
        <v>0.67451690821256038</v>
      </c>
      <c r="Q79" s="41">
        <v>0.62943834732085213</v>
      </c>
      <c r="R79" s="41">
        <v>0.60483870967741937</v>
      </c>
      <c r="S79" s="41">
        <v>0.66040955631399323</v>
      </c>
      <c r="T79" s="89">
        <f t="shared" si="15"/>
        <v>2.7157722573161958</v>
      </c>
      <c r="U79" s="89">
        <f t="shared" si="16"/>
        <v>-0.95449201655212201</v>
      </c>
      <c r="V79" s="89">
        <f t="shared" si="17"/>
        <v>5.5570846636573856</v>
      </c>
      <c r="W79" s="146"/>
      <c r="X79" s="147"/>
      <c r="Y79" s="147"/>
    </row>
    <row r="80" spans="1:25" x14ac:dyDescent="0.25">
      <c r="A80" s="30" t="s">
        <v>11</v>
      </c>
      <c r="B80" s="41">
        <v>0.59567168118237002</v>
      </c>
      <c r="C80" s="41">
        <v>0.65681117358969709</v>
      </c>
      <c r="D80" s="41">
        <v>0.70566085101041798</v>
      </c>
      <c r="E80" s="41">
        <v>0.67981087470449175</v>
      </c>
      <c r="F80" s="41">
        <v>0.6771086355641176</v>
      </c>
      <c r="G80" s="41">
        <v>0.67160551897146437</v>
      </c>
      <c r="H80" s="41">
        <v>0.6811014167934043</v>
      </c>
      <c r="I80" s="41">
        <v>0.68797622676013415</v>
      </c>
      <c r="J80" s="41">
        <v>0.69554372008359744</v>
      </c>
      <c r="K80" s="41">
        <v>0.72770642201834868</v>
      </c>
      <c r="L80" s="41">
        <v>0.71992976294995614</v>
      </c>
      <c r="M80" s="41">
        <v>0.74417518793481818</v>
      </c>
      <c r="N80" s="41">
        <v>0.720591911213318</v>
      </c>
      <c r="O80" s="41">
        <v>0.70171505436610249</v>
      </c>
      <c r="P80" s="41">
        <v>0.73268879017507182</v>
      </c>
      <c r="Q80" s="41">
        <v>0.7248979591836735</v>
      </c>
      <c r="R80" s="41">
        <v>0.71612665684830634</v>
      </c>
      <c r="S80" s="41">
        <v>0.72867602196461256</v>
      </c>
      <c r="T80" s="89">
        <f t="shared" si="15"/>
        <v>3.3132301881015125</v>
      </c>
      <c r="U80" s="89">
        <f t="shared" si="16"/>
        <v>2.6960967598510077</v>
      </c>
      <c r="V80" s="89">
        <f t="shared" si="17"/>
        <v>1.2549365116306221</v>
      </c>
      <c r="W80" s="146"/>
      <c r="X80" s="147"/>
      <c r="Y80" s="147"/>
    </row>
    <row r="81" spans="1:25" x14ac:dyDescent="0.25">
      <c r="A81" s="30" t="s">
        <v>12</v>
      </c>
      <c r="B81" s="41">
        <v>0.44897959183673469</v>
      </c>
      <c r="C81" s="41">
        <v>0.44223826714801445</v>
      </c>
      <c r="D81" s="41">
        <v>0.49097065462753953</v>
      </c>
      <c r="E81" s="41">
        <v>0.53961885656970909</v>
      </c>
      <c r="F81" s="41">
        <v>0.50522648083623689</v>
      </c>
      <c r="G81" s="41">
        <v>0.52998605299860535</v>
      </c>
      <c r="H81" s="41">
        <v>0.59274755927475598</v>
      </c>
      <c r="I81" s="41">
        <v>0.52</v>
      </c>
      <c r="J81" s="41">
        <v>0.59150326797385622</v>
      </c>
      <c r="K81" s="41">
        <v>0.55555555555555558</v>
      </c>
      <c r="L81" s="41">
        <v>0.61803278688524588</v>
      </c>
      <c r="M81" s="41">
        <v>0.56212121212121213</v>
      </c>
      <c r="N81" s="41">
        <v>0.56071428571428572</v>
      </c>
      <c r="O81" s="41">
        <v>0.65170940170940173</v>
      </c>
      <c r="P81" s="41">
        <v>0.6310679611650486</v>
      </c>
      <c r="Q81" s="41">
        <v>0.58757062146892658</v>
      </c>
      <c r="R81" s="41">
        <v>0.6428571428571429</v>
      </c>
      <c r="S81" s="41">
        <v>0.61229946524064172</v>
      </c>
      <c r="T81" s="89">
        <f t="shared" si="15"/>
        <v>2.0796197266785499</v>
      </c>
      <c r="U81" s="89">
        <f t="shared" si="16"/>
        <v>-3.940993646876001</v>
      </c>
      <c r="V81" s="89">
        <f t="shared" si="17"/>
        <v>-3.0557677616501189</v>
      </c>
      <c r="W81" s="146"/>
      <c r="X81" s="147"/>
      <c r="Y81" s="147"/>
    </row>
    <row r="82" spans="1:25" x14ac:dyDescent="0.25">
      <c r="A82" s="30" t="s">
        <v>13</v>
      </c>
      <c r="B82" s="41">
        <v>0.64197651663405086</v>
      </c>
      <c r="C82" s="41">
        <v>0.70652519219772536</v>
      </c>
      <c r="D82" s="41">
        <v>0.70885442721360681</v>
      </c>
      <c r="E82" s="41">
        <v>0.7109572523240888</v>
      </c>
      <c r="F82" s="41">
        <v>0.67334114389178823</v>
      </c>
      <c r="G82" s="41">
        <v>0.68091318418460678</v>
      </c>
      <c r="H82" s="41">
        <v>0.69225511709054277</v>
      </c>
      <c r="I82" s="41">
        <v>0.69635309519356647</v>
      </c>
      <c r="J82" s="41">
        <v>0.708811115676241</v>
      </c>
      <c r="K82" s="41">
        <v>0.71411826981246218</v>
      </c>
      <c r="L82" s="41">
        <v>0.72423078446125211</v>
      </c>
      <c r="M82" s="41">
        <v>0.73261326627365297</v>
      </c>
      <c r="N82" s="41">
        <v>0.71523886916727253</v>
      </c>
      <c r="O82" s="41">
        <v>0.7282456304327507</v>
      </c>
      <c r="P82" s="41">
        <v>0.74400665507071018</v>
      </c>
      <c r="Q82" s="41">
        <v>0.74175405493668134</v>
      </c>
      <c r="R82" s="41">
        <v>0.74107377018470644</v>
      </c>
      <c r="S82" s="41">
        <v>0.74022171093913403</v>
      </c>
      <c r="T82" s="89">
        <f t="shared" si="15"/>
        <v>3.1410595262893026</v>
      </c>
      <c r="U82" s="89">
        <f t="shared" si="16"/>
        <v>1.1976080506383324</v>
      </c>
      <c r="V82" s="89">
        <f t="shared" si="17"/>
        <v>-8.5205924557241186E-2</v>
      </c>
      <c r="W82" s="146"/>
      <c r="X82" s="147"/>
      <c r="Y82" s="147"/>
    </row>
    <row r="83" spans="1:25" x14ac:dyDescent="0.25">
      <c r="A83" s="30" t="s">
        <v>14</v>
      </c>
      <c r="B83" s="41">
        <v>0.57790971718636697</v>
      </c>
      <c r="C83" s="41">
        <v>0.59841096509394887</v>
      </c>
      <c r="D83" s="41">
        <v>0.62194149360385365</v>
      </c>
      <c r="E83" s="41">
        <v>0.61075882477277532</v>
      </c>
      <c r="F83" s="41">
        <v>0.59288238263503279</v>
      </c>
      <c r="G83" s="41">
        <v>0.6079717558323805</v>
      </c>
      <c r="H83" s="41">
        <v>0.61532655650302714</v>
      </c>
      <c r="I83" s="41">
        <v>0.62186279977691017</v>
      </c>
      <c r="J83" s="41">
        <v>0.61975842607732479</v>
      </c>
      <c r="K83" s="41">
        <v>0.6292212127956619</v>
      </c>
      <c r="L83" s="41">
        <v>0.66062265583653557</v>
      </c>
      <c r="M83" s="41">
        <v>0.66595930595431285</v>
      </c>
      <c r="N83" s="41">
        <v>0.62947052947052951</v>
      </c>
      <c r="O83" s="41">
        <v>0.59717544505136844</v>
      </c>
      <c r="P83" s="41">
        <v>0.62711815809846028</v>
      </c>
      <c r="Q83" s="41">
        <v>0.6635643349432897</v>
      </c>
      <c r="R83" s="41">
        <v>0.66284205716606592</v>
      </c>
      <c r="S83" s="41">
        <v>0.67265722158550567</v>
      </c>
      <c r="T83" s="89">
        <f t="shared" si="15"/>
        <v>5.2898795508180889</v>
      </c>
      <c r="U83" s="89">
        <f t="shared" si="16"/>
        <v>7.5481776534137239</v>
      </c>
      <c r="V83" s="89">
        <f t="shared" si="17"/>
        <v>0.9815164419439748</v>
      </c>
      <c r="W83" s="146"/>
      <c r="X83" s="147"/>
      <c r="Y83" s="147"/>
    </row>
    <row r="84" spans="1:25" x14ac:dyDescent="0.25">
      <c r="A84" s="81" t="s">
        <v>1</v>
      </c>
      <c r="B84" s="40">
        <v>0.66658579105335991</v>
      </c>
      <c r="C84" s="40">
        <v>0.6912781111500006</v>
      </c>
      <c r="D84" s="40">
        <v>0.70922233792689326</v>
      </c>
      <c r="E84" s="40">
        <v>0.7113320616485761</v>
      </c>
      <c r="F84" s="40">
        <v>0.6846562721474132</v>
      </c>
      <c r="G84" s="40">
        <v>0.68973220651564271</v>
      </c>
      <c r="H84" s="40">
        <v>0.69461321726761271</v>
      </c>
      <c r="I84" s="40">
        <v>0.7024570399536062</v>
      </c>
      <c r="J84" s="40">
        <v>0.71157616916382926</v>
      </c>
      <c r="K84" s="40">
        <v>0.72363000835048441</v>
      </c>
      <c r="L84" s="40">
        <v>0.73983376445526472</v>
      </c>
      <c r="M84" s="40">
        <v>0.74877261002307971</v>
      </c>
      <c r="N84" s="61">
        <v>0.73562169704699432</v>
      </c>
      <c r="O84" s="61">
        <v>0.75559151532642077</v>
      </c>
      <c r="P84" s="61">
        <v>0.75558506614668253</v>
      </c>
      <c r="Q84" s="61">
        <v>0.75949903510144479</v>
      </c>
      <c r="R84" s="61">
        <v>0.76487132988940454</v>
      </c>
      <c r="S84" s="61">
        <v>0.77306330481553465</v>
      </c>
      <c r="T84" s="90">
        <f t="shared" si="15"/>
        <v>6.1487135651705387</v>
      </c>
      <c r="U84" s="90">
        <f t="shared" si="16"/>
        <v>1.7471789489113876</v>
      </c>
      <c r="V84" s="90">
        <f t="shared" si="17"/>
        <v>0.81919749261301078</v>
      </c>
      <c r="W84" s="146"/>
      <c r="X84" s="147"/>
      <c r="Y84" s="147"/>
    </row>
    <row r="85" spans="1:25" ht="15.75" x14ac:dyDescent="0.25">
      <c r="A85" s="57" t="s">
        <v>259</v>
      </c>
      <c r="B85" s="57"/>
      <c r="C85" s="47"/>
      <c r="D85" s="47"/>
      <c r="E85" s="47"/>
      <c r="F85" s="47"/>
      <c r="G85" s="47"/>
      <c r="H85" s="46"/>
      <c r="I85" s="46"/>
      <c r="J85" s="46"/>
      <c r="K85" s="46"/>
      <c r="L85" s="46"/>
      <c r="M85" s="46"/>
      <c r="N85" s="46"/>
      <c r="O85" s="46"/>
      <c r="P85" s="46"/>
      <c r="Q85" s="46"/>
      <c r="V85" s="12"/>
      <c r="W85" s="146"/>
      <c r="X85" s="147"/>
      <c r="Y85" s="147"/>
    </row>
    <row r="86" spans="1:25" ht="15.75" x14ac:dyDescent="0.25">
      <c r="A86" s="57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V86" s="12"/>
      <c r="W86" s="146"/>
      <c r="X86" s="147"/>
      <c r="Y86" s="147"/>
    </row>
    <row r="87" spans="1:25" ht="18" x14ac:dyDescent="0.25">
      <c r="A87" s="56" t="s">
        <v>260</v>
      </c>
      <c r="B87" s="5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V87" s="12"/>
      <c r="W87" s="146"/>
      <c r="X87" s="147"/>
      <c r="Y87" s="147"/>
    </row>
    <row r="88" spans="1:25" ht="45" customHeight="1" x14ac:dyDescent="0.25">
      <c r="A88" s="14" t="s">
        <v>69</v>
      </c>
      <c r="B88" s="38">
        <v>2007</v>
      </c>
      <c r="C88" s="38">
        <v>2008</v>
      </c>
      <c r="D88" s="38">
        <v>2009</v>
      </c>
      <c r="E88" s="38">
        <v>2010</v>
      </c>
      <c r="F88" s="38">
        <v>2011</v>
      </c>
      <c r="G88" s="38">
        <v>2012</v>
      </c>
      <c r="H88" s="38">
        <v>2013</v>
      </c>
      <c r="I88" s="38">
        <v>2014</v>
      </c>
      <c r="J88" s="38">
        <v>2015</v>
      </c>
      <c r="K88" s="38">
        <v>2016</v>
      </c>
      <c r="L88" s="38">
        <v>2017</v>
      </c>
      <c r="M88" s="38">
        <v>2018</v>
      </c>
      <c r="N88" s="38">
        <v>2019</v>
      </c>
      <c r="O88" s="38">
        <v>2020</v>
      </c>
      <c r="P88" s="38">
        <v>2021</v>
      </c>
      <c r="Q88" s="38">
        <v>2022</v>
      </c>
      <c r="R88" s="38">
        <v>2023</v>
      </c>
      <c r="S88" s="38">
        <v>2024</v>
      </c>
      <c r="T88" s="39" t="s">
        <v>373</v>
      </c>
      <c r="U88" s="39" t="s">
        <v>374</v>
      </c>
      <c r="V88" s="39" t="s">
        <v>375</v>
      </c>
      <c r="W88" s="146"/>
      <c r="X88" s="147"/>
      <c r="Y88" s="147"/>
    </row>
    <row r="89" spans="1:25" x14ac:dyDescent="0.25">
      <c r="A89" s="19" t="s">
        <v>60</v>
      </c>
      <c r="B89" s="41">
        <v>0.72244644707356453</v>
      </c>
      <c r="C89" s="41">
        <v>0.74136146610629838</v>
      </c>
      <c r="D89" s="41">
        <v>0.76015385102409061</v>
      </c>
      <c r="E89" s="41">
        <v>0.76088173246652602</v>
      </c>
      <c r="F89" s="41">
        <v>0.7341726450039856</v>
      </c>
      <c r="G89" s="41">
        <v>0.7431934937499125</v>
      </c>
      <c r="H89" s="41">
        <v>0.74781986025212999</v>
      </c>
      <c r="I89" s="41">
        <v>0.75562914812300996</v>
      </c>
      <c r="J89" s="41">
        <v>0.76240025035205761</v>
      </c>
      <c r="K89" s="41">
        <v>0.77050308259173084</v>
      </c>
      <c r="L89" s="41">
        <v>0.7865681610621158</v>
      </c>
      <c r="M89" s="41">
        <v>0.79120223554899682</v>
      </c>
      <c r="N89" s="41">
        <v>0.78255123454034026</v>
      </c>
      <c r="O89" s="41">
        <v>0.8010020021154427</v>
      </c>
      <c r="P89" s="41">
        <v>0.80362652628500397</v>
      </c>
      <c r="Q89" s="41">
        <v>0.80773693282466807</v>
      </c>
      <c r="R89" s="41">
        <v>0.81234215533644694</v>
      </c>
      <c r="S89" s="41">
        <v>0.81904157899924157</v>
      </c>
      <c r="T89" s="89">
        <f t="shared" ref="T89:T94" si="18">(S89-J89)*100</f>
        <v>5.6641328647183968</v>
      </c>
      <c r="U89" s="89">
        <f t="shared" ref="U89:U94" si="19">(S89-O89)*100</f>
        <v>1.8039576883798869</v>
      </c>
      <c r="V89" s="89">
        <f t="shared" ref="V89:V94" si="20">(S89-R89)*100</f>
        <v>0.66994236627946346</v>
      </c>
      <c r="W89" s="146"/>
      <c r="X89" s="147"/>
      <c r="Y89" s="147"/>
    </row>
    <row r="90" spans="1:25" x14ac:dyDescent="0.25">
      <c r="A90" s="19" t="s">
        <v>61</v>
      </c>
      <c r="B90" s="41">
        <v>0.50889257766184492</v>
      </c>
      <c r="C90" s="41">
        <v>0.5481223945031225</v>
      </c>
      <c r="D90" s="41">
        <v>0.5851832468344309</v>
      </c>
      <c r="E90" s="41">
        <v>0.58688761675203371</v>
      </c>
      <c r="F90" s="41">
        <v>0.57235943017700375</v>
      </c>
      <c r="G90" s="41">
        <v>0.57401717316272416</v>
      </c>
      <c r="H90" s="41">
        <v>0.5903084121986929</v>
      </c>
      <c r="I90" s="41">
        <v>0.60227539750920345</v>
      </c>
      <c r="J90" s="41">
        <v>0.61305474906677726</v>
      </c>
      <c r="K90" s="41">
        <v>0.62731642632189621</v>
      </c>
      <c r="L90" s="41">
        <v>0.64451626178631516</v>
      </c>
      <c r="M90" s="41">
        <v>0.66093569184989254</v>
      </c>
      <c r="N90" s="41">
        <v>0.63057072745982745</v>
      </c>
      <c r="O90" s="41">
        <v>0.62623014086318907</v>
      </c>
      <c r="P90" s="41">
        <v>0.64553073050540688</v>
      </c>
      <c r="Q90" s="41">
        <v>0.67193994468589491</v>
      </c>
      <c r="R90" s="41">
        <v>0.68287162485256148</v>
      </c>
      <c r="S90" s="41">
        <v>0.69658758531036724</v>
      </c>
      <c r="T90" s="89">
        <f t="shared" si="18"/>
        <v>8.3532836243589976</v>
      </c>
      <c r="U90" s="89">
        <f t="shared" si="19"/>
        <v>7.0357444447178175</v>
      </c>
      <c r="V90" s="89">
        <f t="shared" si="20"/>
        <v>1.3715960457805765</v>
      </c>
      <c r="W90" s="146"/>
      <c r="X90" s="147"/>
      <c r="Y90" s="147"/>
    </row>
    <row r="91" spans="1:25" x14ac:dyDescent="0.25">
      <c r="A91" s="19" t="s">
        <v>217</v>
      </c>
      <c r="B91" s="41">
        <v>0.45833333333333331</v>
      </c>
      <c r="C91" s="41">
        <v>0.58394160583941601</v>
      </c>
      <c r="D91" s="41">
        <v>0.4942528735632184</v>
      </c>
      <c r="E91" s="41">
        <v>0.68619246861924688</v>
      </c>
      <c r="F91" s="41">
        <v>0.44742729306487694</v>
      </c>
      <c r="G91" s="41">
        <v>0.49229374433363554</v>
      </c>
      <c r="H91" s="41">
        <v>0.5024826216484608</v>
      </c>
      <c r="I91" s="41">
        <v>0.47826086956521741</v>
      </c>
      <c r="J91" s="41">
        <v>0.60567184334908841</v>
      </c>
      <c r="K91" s="41">
        <v>0.6113989637305699</v>
      </c>
      <c r="L91" s="41">
        <v>0.61009982384028183</v>
      </c>
      <c r="M91" s="41">
        <v>0.61702127659574468</v>
      </c>
      <c r="N91" s="41">
        <v>0.57467853610286845</v>
      </c>
      <c r="O91" s="41">
        <v>0.66808510638297869</v>
      </c>
      <c r="P91" s="41">
        <v>0.62486602357984999</v>
      </c>
      <c r="Q91" s="41">
        <v>0.67323187108325877</v>
      </c>
      <c r="R91" s="41">
        <v>0.61664392905866305</v>
      </c>
      <c r="S91" s="41">
        <v>0.71033068443988723</v>
      </c>
      <c r="T91" s="89">
        <f t="shared" si="18"/>
        <v>10.465884109079882</v>
      </c>
      <c r="U91" s="89">
        <f t="shared" si="19"/>
        <v>4.2245578056908535</v>
      </c>
      <c r="V91" s="89">
        <f t="shared" si="20"/>
        <v>9.3686755381224174</v>
      </c>
      <c r="W91" s="146"/>
      <c r="X91" s="147"/>
      <c r="Y91" s="147"/>
    </row>
    <row r="92" spans="1:25" x14ac:dyDescent="0.25">
      <c r="A92" s="19" t="s">
        <v>218</v>
      </c>
      <c r="B92" s="41">
        <v>0.37694704049844235</v>
      </c>
      <c r="C92" s="41">
        <v>0.65946632782719183</v>
      </c>
      <c r="D92" s="41">
        <v>0.45624103299856528</v>
      </c>
      <c r="E92" s="41">
        <v>0.45027624309392267</v>
      </c>
      <c r="F92" s="41">
        <v>0.54188481675392675</v>
      </c>
      <c r="G92" s="41">
        <v>0.41566265060240964</v>
      </c>
      <c r="H92" s="41">
        <v>0.4708048395581273</v>
      </c>
      <c r="I92" s="41">
        <v>0.44093078758949883</v>
      </c>
      <c r="J92" s="41">
        <v>0.47979966611018365</v>
      </c>
      <c r="K92" s="41">
        <v>0.5553299492385787</v>
      </c>
      <c r="L92" s="41">
        <v>0.53451398671764938</v>
      </c>
      <c r="M92" s="41">
        <v>0.57070507240642554</v>
      </c>
      <c r="N92" s="41">
        <v>0.58565870673463916</v>
      </c>
      <c r="O92" s="41">
        <v>0.66131778883940262</v>
      </c>
      <c r="P92" s="41">
        <v>0.65482783529978328</v>
      </c>
      <c r="Q92" s="41">
        <v>0.62314676122642376</v>
      </c>
      <c r="R92" s="41">
        <v>0.62417244435176977</v>
      </c>
      <c r="S92" s="41">
        <v>0.63482608487632175</v>
      </c>
      <c r="T92" s="89">
        <f t="shared" si="18"/>
        <v>15.50264187661381</v>
      </c>
      <c r="U92" s="89">
        <f t="shared" si="19"/>
        <v>-2.649170396308087</v>
      </c>
      <c r="V92" s="89">
        <f t="shared" si="20"/>
        <v>1.0653640524551977</v>
      </c>
      <c r="W92" s="146"/>
      <c r="X92" s="147"/>
      <c r="Y92" s="147"/>
    </row>
    <row r="93" spans="1:25" x14ac:dyDescent="0.25">
      <c r="A93" s="19" t="s">
        <v>67</v>
      </c>
      <c r="B93" s="41">
        <v>0.27685325264750377</v>
      </c>
      <c r="C93" s="41">
        <v>0.64274570982839319</v>
      </c>
      <c r="D93" s="41">
        <v>0.47801196981524852</v>
      </c>
      <c r="E93" s="41">
        <v>0.80154277699859744</v>
      </c>
      <c r="F93" s="41">
        <v>0.70848202031292895</v>
      </c>
      <c r="G93" s="41">
        <v>0.70870113493064313</v>
      </c>
      <c r="H93" s="41">
        <v>0.72964899178491416</v>
      </c>
      <c r="I93" s="41">
        <v>0.64885496183206104</v>
      </c>
      <c r="J93" s="41">
        <v>0.74193548387096775</v>
      </c>
      <c r="K93" s="41">
        <v>0.61615384615384616</v>
      </c>
      <c r="L93" s="41">
        <v>0.60504959422903515</v>
      </c>
      <c r="M93" s="41">
        <v>0.64337568058076222</v>
      </c>
      <c r="N93" s="41">
        <v>0.59627906976744183</v>
      </c>
      <c r="O93" s="41">
        <v>0.69910514541387025</v>
      </c>
      <c r="P93" s="41">
        <v>0.77391304347826084</v>
      </c>
      <c r="Q93" s="41">
        <v>0.73451327433628322</v>
      </c>
      <c r="R93" s="41" t="s">
        <v>62</v>
      </c>
      <c r="S93" s="41" t="s">
        <v>62</v>
      </c>
      <c r="T93" s="41" t="s">
        <v>62</v>
      </c>
      <c r="U93" s="41" t="s">
        <v>62</v>
      </c>
      <c r="V93" s="41" t="s">
        <v>62</v>
      </c>
      <c r="W93" s="146"/>
      <c r="X93" s="147"/>
      <c r="Y93" s="147"/>
    </row>
    <row r="94" spans="1:25" x14ac:dyDescent="0.25">
      <c r="A94" s="81" t="s">
        <v>1</v>
      </c>
      <c r="B94" s="40">
        <v>0.66658579105335991</v>
      </c>
      <c r="C94" s="40">
        <v>0.6912781111500006</v>
      </c>
      <c r="D94" s="40">
        <v>0.70922233792689326</v>
      </c>
      <c r="E94" s="40">
        <v>0.7113320616485761</v>
      </c>
      <c r="F94" s="40">
        <v>0.6846562721474132</v>
      </c>
      <c r="G94" s="40">
        <v>0.68973220651564271</v>
      </c>
      <c r="H94" s="40">
        <v>0.69461321726761271</v>
      </c>
      <c r="I94" s="40">
        <v>0.7024570399536062</v>
      </c>
      <c r="J94" s="40">
        <v>0.71157616916382926</v>
      </c>
      <c r="K94" s="40">
        <v>0.72363000835048441</v>
      </c>
      <c r="L94" s="40">
        <v>0.73983376445526472</v>
      </c>
      <c r="M94" s="40">
        <v>0.74877261002307971</v>
      </c>
      <c r="N94" s="40">
        <v>0.73562169704699432</v>
      </c>
      <c r="O94" s="61">
        <v>0.75559151532642077</v>
      </c>
      <c r="P94" s="61">
        <v>0.75558506614668253</v>
      </c>
      <c r="Q94" s="61">
        <v>0.75949903510144479</v>
      </c>
      <c r="R94" s="61">
        <v>0.76487132988940454</v>
      </c>
      <c r="S94" s="61">
        <v>0.77306330481553465</v>
      </c>
      <c r="T94" s="90">
        <f t="shared" si="18"/>
        <v>6.1487135651705387</v>
      </c>
      <c r="U94" s="90">
        <f t="shared" si="19"/>
        <v>1.7471789489113876</v>
      </c>
      <c r="V94" s="90">
        <f t="shared" si="20"/>
        <v>0.81919749261301078</v>
      </c>
      <c r="W94" s="146"/>
      <c r="X94" s="147"/>
      <c r="Y94" s="147"/>
    </row>
    <row r="95" spans="1:25" x14ac:dyDescent="0.25">
      <c r="A95" s="117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98"/>
      <c r="P95" s="98"/>
      <c r="Q95" s="98"/>
      <c r="T95" s="115"/>
      <c r="U95" s="116"/>
      <c r="V95" s="116"/>
      <c r="W95" s="146"/>
      <c r="X95" s="147"/>
      <c r="Y95" s="147"/>
    </row>
    <row r="96" spans="1:25" ht="18" x14ac:dyDescent="0.25">
      <c r="A96" s="56" t="s">
        <v>265</v>
      </c>
      <c r="B96" s="56"/>
      <c r="C96" s="46"/>
      <c r="D96" s="46"/>
      <c r="E96" s="46"/>
      <c r="F96" s="46"/>
      <c r="G96" s="46"/>
      <c r="H96" s="6"/>
      <c r="I96" s="6"/>
      <c r="J96" s="6"/>
      <c r="K96" s="6"/>
      <c r="L96" s="6"/>
      <c r="M96" s="6"/>
      <c r="N96" s="6"/>
      <c r="O96" s="6"/>
      <c r="P96" s="6"/>
      <c r="Q96" s="6"/>
      <c r="V96" s="12"/>
      <c r="W96" s="146"/>
      <c r="X96" s="147"/>
      <c r="Y96" s="147"/>
    </row>
    <row r="97" spans="1:26" ht="45" customHeight="1" x14ac:dyDescent="0.25">
      <c r="A97" s="14" t="s">
        <v>70</v>
      </c>
      <c r="B97" s="38">
        <v>2007</v>
      </c>
      <c r="C97" s="38">
        <v>2008</v>
      </c>
      <c r="D97" s="38">
        <v>2009</v>
      </c>
      <c r="E97" s="38">
        <v>2010</v>
      </c>
      <c r="F97" s="38">
        <v>2011</v>
      </c>
      <c r="G97" s="38">
        <v>2012</v>
      </c>
      <c r="H97" s="38">
        <v>2013</v>
      </c>
      <c r="I97" s="38">
        <v>2014</v>
      </c>
      <c r="J97" s="38">
        <v>2015</v>
      </c>
      <c r="K97" s="38">
        <v>2016</v>
      </c>
      <c r="L97" s="38">
        <v>2017</v>
      </c>
      <c r="M97" s="38">
        <v>2018</v>
      </c>
      <c r="N97" s="38">
        <v>2019</v>
      </c>
      <c r="O97" s="38">
        <v>2020</v>
      </c>
      <c r="P97" s="38">
        <v>2021</v>
      </c>
      <c r="Q97" s="38">
        <v>2022</v>
      </c>
      <c r="R97" s="38">
        <v>2023</v>
      </c>
      <c r="S97" s="38">
        <v>2024</v>
      </c>
      <c r="T97" s="39" t="s">
        <v>373</v>
      </c>
      <c r="U97" s="39" t="s">
        <v>374</v>
      </c>
      <c r="V97" s="39" t="s">
        <v>375</v>
      </c>
      <c r="W97" s="146"/>
      <c r="X97" s="147"/>
      <c r="Y97" s="147"/>
    </row>
    <row r="98" spans="1:26" x14ac:dyDescent="0.25">
      <c r="A98" s="81" t="s">
        <v>261</v>
      </c>
      <c r="B98" s="40">
        <v>0.71458872662358619</v>
      </c>
      <c r="C98" s="40">
        <v>0.72530870174215578</v>
      </c>
      <c r="D98" s="40">
        <v>0.7422180937289401</v>
      </c>
      <c r="E98" s="40">
        <v>0.75585342355260798</v>
      </c>
      <c r="F98" s="40">
        <v>0.72630535213764225</v>
      </c>
      <c r="G98" s="40">
        <v>0.73331488842713888</v>
      </c>
      <c r="H98" s="40">
        <v>0.73655551055308044</v>
      </c>
      <c r="I98" s="40">
        <v>0.7495106495437569</v>
      </c>
      <c r="J98" s="40">
        <v>0.75890282301518974</v>
      </c>
      <c r="K98" s="40">
        <v>0.76646209888860528</v>
      </c>
      <c r="L98" s="40">
        <v>0.78023603130717389</v>
      </c>
      <c r="M98" s="40">
        <v>0.78639294100086687</v>
      </c>
      <c r="N98" s="40">
        <v>0.78631126280634933</v>
      </c>
      <c r="O98" s="40">
        <v>0.82578151601861416</v>
      </c>
      <c r="P98" s="40">
        <v>0.80755510892497195</v>
      </c>
      <c r="Q98" s="40">
        <v>0.80417667316144814</v>
      </c>
      <c r="R98" s="40">
        <v>0.80886287378238952</v>
      </c>
      <c r="S98" s="40">
        <v>0.81767261088248744</v>
      </c>
      <c r="T98" s="90">
        <f t="shared" ref="T98:T110" si="21">(S98-J98)*100</f>
        <v>5.8769787867297696</v>
      </c>
      <c r="U98" s="90">
        <f t="shared" ref="U98:U110" si="22">(S98-O98)*100</f>
        <v>-0.81089051361267206</v>
      </c>
      <c r="V98" s="90">
        <f t="shared" ref="V98:V110" si="23">(S98-R98)*100</f>
        <v>0.88097371000979141</v>
      </c>
      <c r="W98" s="146"/>
      <c r="X98" s="147"/>
      <c r="Y98" s="147"/>
    </row>
    <row r="99" spans="1:26" x14ac:dyDescent="0.25">
      <c r="A99" s="30" t="s">
        <v>60</v>
      </c>
      <c r="B99" s="41">
        <v>0.7568213471765004</v>
      </c>
      <c r="C99" s="41">
        <v>0.76031593022171085</v>
      </c>
      <c r="D99" s="41">
        <v>0.77961647252722777</v>
      </c>
      <c r="E99" s="41">
        <v>0.79018841485613023</v>
      </c>
      <c r="F99" s="41">
        <v>0.76071952050316893</v>
      </c>
      <c r="G99" s="41">
        <v>0.76961553959233575</v>
      </c>
      <c r="H99" s="41">
        <v>0.76990299381167415</v>
      </c>
      <c r="I99" s="41">
        <v>0.78176340946820078</v>
      </c>
      <c r="J99" s="41">
        <v>0.78865897160755194</v>
      </c>
      <c r="K99" s="41">
        <v>0.79546598439728211</v>
      </c>
      <c r="L99" s="41">
        <v>0.81083738997885624</v>
      </c>
      <c r="M99" s="41">
        <v>0.81139754840031408</v>
      </c>
      <c r="N99" s="41">
        <v>0.81233216903228411</v>
      </c>
      <c r="O99" s="41">
        <v>0.85035904563354181</v>
      </c>
      <c r="P99" s="41">
        <v>0.83444937820357235</v>
      </c>
      <c r="Q99" s="41">
        <v>0.83144023859962091</v>
      </c>
      <c r="R99" s="41">
        <v>0.83627652376395145</v>
      </c>
      <c r="S99" s="41">
        <v>0.84555650400720828</v>
      </c>
      <c r="T99" s="89">
        <f t="shared" si="21"/>
        <v>5.6897532399656336</v>
      </c>
      <c r="U99" s="89">
        <f t="shared" si="22"/>
        <v>-0.48025416263335341</v>
      </c>
      <c r="V99" s="89">
        <f t="shared" si="23"/>
        <v>0.92799802432568246</v>
      </c>
      <c r="W99" s="146"/>
      <c r="X99" s="154"/>
      <c r="Y99" s="147"/>
    </row>
    <row r="100" spans="1:26" x14ac:dyDescent="0.25">
      <c r="A100" s="30" t="s">
        <v>61</v>
      </c>
      <c r="B100" s="41">
        <v>0.51591289782244554</v>
      </c>
      <c r="C100" s="41">
        <v>0.55459459459459459</v>
      </c>
      <c r="D100" s="41">
        <v>0.57701720422252256</v>
      </c>
      <c r="E100" s="41">
        <v>0.59828231951440014</v>
      </c>
      <c r="F100" s="41">
        <v>0.58169854252505993</v>
      </c>
      <c r="G100" s="41">
        <v>0.56989427756334954</v>
      </c>
      <c r="H100" s="41">
        <v>0.60033218503937003</v>
      </c>
      <c r="I100" s="41">
        <v>0.62231165061353744</v>
      </c>
      <c r="J100" s="41">
        <v>0.61523406920306878</v>
      </c>
      <c r="K100" s="41">
        <v>0.62695201877174533</v>
      </c>
      <c r="L100" s="41">
        <v>0.63844930084568363</v>
      </c>
      <c r="M100" s="41">
        <v>0.66220292504570388</v>
      </c>
      <c r="N100" s="41">
        <v>0.65075015095917133</v>
      </c>
      <c r="O100" s="41">
        <v>0.67170224411603718</v>
      </c>
      <c r="P100" s="41">
        <v>0.66832055330025564</v>
      </c>
      <c r="Q100" s="41">
        <v>0.71053953581834628</v>
      </c>
      <c r="R100" s="41">
        <v>0.72407354208560759</v>
      </c>
      <c r="S100" s="41">
        <v>0.73771817187425692</v>
      </c>
      <c r="T100" s="89">
        <f t="shared" si="21"/>
        <v>12.248410267118814</v>
      </c>
      <c r="U100" s="89">
        <f t="shared" si="22"/>
        <v>6.6015927758219739</v>
      </c>
      <c r="V100" s="89">
        <f t="shared" si="23"/>
        <v>1.3644629788649332</v>
      </c>
      <c r="W100" s="146"/>
      <c r="X100" s="154"/>
      <c r="Y100" s="147"/>
    </row>
    <row r="101" spans="1:26" x14ac:dyDescent="0.25">
      <c r="A101" s="30" t="s">
        <v>217</v>
      </c>
      <c r="B101" s="41" t="s">
        <v>62</v>
      </c>
      <c r="C101" s="41" t="s">
        <v>62</v>
      </c>
      <c r="D101" s="41">
        <v>1</v>
      </c>
      <c r="E101" s="41">
        <v>0.81730769230769229</v>
      </c>
      <c r="F101" s="41">
        <v>0.47068676716917923</v>
      </c>
      <c r="G101" s="41">
        <v>0.49107142857142855</v>
      </c>
      <c r="H101" s="41">
        <v>0.45833333333333331</v>
      </c>
      <c r="I101" s="41">
        <v>0.39759036144578314</v>
      </c>
      <c r="J101" s="41">
        <v>0.56623931623931623</v>
      </c>
      <c r="K101" s="41">
        <v>0.56575682382133996</v>
      </c>
      <c r="L101" s="41">
        <v>0.63461538461538458</v>
      </c>
      <c r="M101" s="41">
        <v>0.53588516746411485</v>
      </c>
      <c r="N101" s="41">
        <v>0.48799999999999999</v>
      </c>
      <c r="O101" s="41">
        <v>0.64954682779456197</v>
      </c>
      <c r="P101" s="41">
        <v>0.62554112554112551</v>
      </c>
      <c r="Q101" s="41">
        <v>0.65952080706179061</v>
      </c>
      <c r="R101" s="41">
        <v>0.6348314606741573</v>
      </c>
      <c r="S101" s="41">
        <v>0.69748358862144422</v>
      </c>
      <c r="T101" s="89">
        <f t="shared" si="21"/>
        <v>13.1244272382128</v>
      </c>
      <c r="U101" s="89">
        <f t="shared" si="22"/>
        <v>4.7936760826882256</v>
      </c>
      <c r="V101" s="89">
        <f t="shared" si="23"/>
        <v>6.2652127947286917</v>
      </c>
      <c r="W101" s="146"/>
      <c r="X101" s="154"/>
      <c r="Y101" s="147"/>
    </row>
    <row r="102" spans="1:26" x14ac:dyDescent="0.25">
      <c r="A102" s="30" t="s">
        <v>218</v>
      </c>
      <c r="B102" s="41">
        <v>0.38435374149659862</v>
      </c>
      <c r="C102" s="41">
        <v>0.50362318840579712</v>
      </c>
      <c r="D102" s="41">
        <v>0.39117647058823529</v>
      </c>
      <c r="E102" s="41">
        <v>0.5011037527593819</v>
      </c>
      <c r="F102" s="41">
        <v>0.5362776025236593</v>
      </c>
      <c r="G102" s="41">
        <v>0.42559999999999998</v>
      </c>
      <c r="H102" s="41">
        <v>0.49070100143061518</v>
      </c>
      <c r="I102" s="41">
        <v>0.47853881278538812</v>
      </c>
      <c r="J102" s="41">
        <v>0.59981472904122279</v>
      </c>
      <c r="K102" s="41">
        <v>0.61668681983071338</v>
      </c>
      <c r="L102" s="41">
        <v>0.56868925663251901</v>
      </c>
      <c r="M102" s="41">
        <v>0.62738044858231057</v>
      </c>
      <c r="N102" s="41">
        <v>0.66260020913210183</v>
      </c>
      <c r="O102" s="41">
        <v>0.72861461853103326</v>
      </c>
      <c r="P102" s="41">
        <v>0.71020904767171777</v>
      </c>
      <c r="Q102" s="41">
        <v>0.64687064227708968</v>
      </c>
      <c r="R102" s="41">
        <v>0.66007880802856789</v>
      </c>
      <c r="S102" s="41">
        <v>0.66534427476767566</v>
      </c>
      <c r="T102" s="89">
        <f t="shared" si="21"/>
        <v>6.5529545726452865</v>
      </c>
      <c r="U102" s="89">
        <f t="shared" si="22"/>
        <v>-6.3270343763357602</v>
      </c>
      <c r="V102" s="89">
        <f t="shared" si="23"/>
        <v>0.52654667391077714</v>
      </c>
      <c r="W102" s="146"/>
      <c r="X102" s="154"/>
      <c r="Y102" s="147"/>
    </row>
    <row r="103" spans="1:26" x14ac:dyDescent="0.25">
      <c r="A103" s="30" t="s">
        <v>67</v>
      </c>
      <c r="B103" s="41">
        <v>0.15223880597014924</v>
      </c>
      <c r="C103" s="41">
        <v>0.54054054054054057</v>
      </c>
      <c r="D103" s="41">
        <v>0.56974716652136004</v>
      </c>
      <c r="E103" s="41">
        <v>0.74929378531073443</v>
      </c>
      <c r="F103" s="41">
        <v>0.7090784044016506</v>
      </c>
      <c r="G103" s="41">
        <v>0.73285024154589373</v>
      </c>
      <c r="H103" s="41">
        <v>0.86988847583643125</v>
      </c>
      <c r="I103" s="41">
        <v>0.25</v>
      </c>
      <c r="J103" s="41" t="e">
        <v>#DIV/0!</v>
      </c>
      <c r="K103" s="41">
        <v>0.63060109289617483</v>
      </c>
      <c r="L103" s="41">
        <v>0.61538461538461542</v>
      </c>
      <c r="M103" s="41">
        <v>0.66575342465753429</v>
      </c>
      <c r="N103" s="41">
        <v>0.61444141689373299</v>
      </c>
      <c r="O103" s="41">
        <v>0.71148459383753504</v>
      </c>
      <c r="P103" s="41">
        <v>0.7678855325914149</v>
      </c>
      <c r="Q103" s="41">
        <v>0.70253164556962022</v>
      </c>
      <c r="R103" s="41" t="s">
        <v>62</v>
      </c>
      <c r="S103" s="41" t="s">
        <v>62</v>
      </c>
      <c r="T103" s="41" t="s">
        <v>62</v>
      </c>
      <c r="U103" s="41" t="s">
        <v>62</v>
      </c>
      <c r="V103" s="89" t="s">
        <v>62</v>
      </c>
      <c r="W103" s="146"/>
      <c r="X103" s="154"/>
      <c r="Y103" s="147"/>
    </row>
    <row r="104" spans="1:26" x14ac:dyDescent="0.25">
      <c r="A104" s="81" t="s">
        <v>58</v>
      </c>
      <c r="B104" s="40">
        <v>0.56359267896261744</v>
      </c>
      <c r="C104" s="40">
        <v>0.62715286562226336</v>
      </c>
      <c r="D104" s="40">
        <v>0.65399896355156328</v>
      </c>
      <c r="E104" s="40">
        <v>0.6437828788020431</v>
      </c>
      <c r="F104" s="40">
        <v>0.62677259919626771</v>
      </c>
      <c r="G104" s="40">
        <v>0.63399169525185051</v>
      </c>
      <c r="H104" s="61">
        <v>0.64531443193313986</v>
      </c>
      <c r="I104" s="61">
        <v>0.65034767115004855</v>
      </c>
      <c r="J104" s="61">
        <v>0.66092565029413852</v>
      </c>
      <c r="K104" s="61">
        <v>0.67431765515122777</v>
      </c>
      <c r="L104" s="61">
        <v>0.69195924558620836</v>
      </c>
      <c r="M104" s="61">
        <v>0.70279921425564751</v>
      </c>
      <c r="N104" s="61">
        <v>0.67145687737394399</v>
      </c>
      <c r="O104" s="61">
        <v>0.66058042970234576</v>
      </c>
      <c r="P104" s="61">
        <v>0.68610644081645478</v>
      </c>
      <c r="Q104" s="61">
        <v>0.69892332739448304</v>
      </c>
      <c r="R104" s="61">
        <v>0.69739338104703097</v>
      </c>
      <c r="S104" s="61">
        <v>0.70137921533209857</v>
      </c>
      <c r="T104" s="90">
        <f t="shared" si="21"/>
        <v>4.0453565037960049</v>
      </c>
      <c r="U104" s="90">
        <f t="shared" si="22"/>
        <v>4.0798785629752814</v>
      </c>
      <c r="V104" s="90">
        <f t="shared" si="23"/>
        <v>0.39858342850676021</v>
      </c>
      <c r="W104" s="146"/>
      <c r="X104" s="147"/>
      <c r="Y104" s="147"/>
    </row>
    <row r="105" spans="1:26" x14ac:dyDescent="0.25">
      <c r="A105" s="30" t="s">
        <v>60</v>
      </c>
      <c r="B105" s="41">
        <v>0.61285195277020887</v>
      </c>
      <c r="C105" s="41">
        <v>0.68864191658198015</v>
      </c>
      <c r="D105" s="41">
        <v>0.71234750259861046</v>
      </c>
      <c r="E105" s="41">
        <v>0.69364954301922466</v>
      </c>
      <c r="F105" s="41">
        <v>0.67739989109799703</v>
      </c>
      <c r="G105" s="41">
        <v>0.68915097690941385</v>
      </c>
      <c r="H105" s="41">
        <v>0.70599028459791968</v>
      </c>
      <c r="I105" s="41">
        <v>0.70984644312127865</v>
      </c>
      <c r="J105" s="41">
        <v>0.71676956028726224</v>
      </c>
      <c r="K105" s="41">
        <v>0.72464233426656055</v>
      </c>
      <c r="L105" s="91">
        <v>0.74212015952656629</v>
      </c>
      <c r="M105" s="91">
        <v>0.75254875307157421</v>
      </c>
      <c r="N105" s="91">
        <v>0.72385020495337149</v>
      </c>
      <c r="O105" s="91">
        <v>0.69955997980235163</v>
      </c>
      <c r="P105" s="91">
        <v>0.7372804523871721</v>
      </c>
      <c r="Q105" s="91">
        <v>0.75614639103332171</v>
      </c>
      <c r="R105" s="91">
        <v>0.75390316867344354</v>
      </c>
      <c r="S105" s="91">
        <v>0.74987242333802406</v>
      </c>
      <c r="T105" s="89">
        <f t="shared" si="21"/>
        <v>3.3102863050761822</v>
      </c>
      <c r="U105" s="89">
        <f t="shared" si="22"/>
        <v>5.031244353567244</v>
      </c>
      <c r="V105" s="89">
        <f t="shared" si="23"/>
        <v>-0.40307453354194722</v>
      </c>
      <c r="W105" s="146"/>
      <c r="X105" s="147"/>
      <c r="Y105" s="147"/>
      <c r="Z105" s="145"/>
    </row>
    <row r="106" spans="1:26" x14ac:dyDescent="0.25">
      <c r="A106" s="30" t="s">
        <v>61</v>
      </c>
      <c r="B106" s="41">
        <v>0.50322963353546002</v>
      </c>
      <c r="C106" s="41">
        <v>0.54330391790508492</v>
      </c>
      <c r="D106" s="41">
        <v>0.59058198502777104</v>
      </c>
      <c r="E106" s="41">
        <v>0.58010114801069168</v>
      </c>
      <c r="F106" s="41">
        <v>0.56720671812706758</v>
      </c>
      <c r="G106" s="41">
        <v>0.57590017934607662</v>
      </c>
      <c r="H106" s="41">
        <v>0.58578155602783677</v>
      </c>
      <c r="I106" s="41">
        <v>0.59381787802840436</v>
      </c>
      <c r="J106" s="41">
        <v>0.61226936748857419</v>
      </c>
      <c r="K106" s="41">
        <v>0.62745336515803396</v>
      </c>
      <c r="L106" s="91">
        <v>0.64698370536854477</v>
      </c>
      <c r="M106" s="91">
        <v>0.66044716951213067</v>
      </c>
      <c r="N106" s="91">
        <v>0.62256536881092339</v>
      </c>
      <c r="O106" s="91">
        <v>0.60731362994671889</v>
      </c>
      <c r="P106" s="91">
        <v>0.63560136256441613</v>
      </c>
      <c r="Q106" s="91">
        <v>0.65422306255620377</v>
      </c>
      <c r="R106" s="91">
        <v>0.66231004492019496</v>
      </c>
      <c r="S106" s="91">
        <v>0.67524004640485769</v>
      </c>
      <c r="T106" s="89">
        <f t="shared" si="21"/>
        <v>6.29706789162835</v>
      </c>
      <c r="U106" s="89">
        <f t="shared" si="22"/>
        <v>6.7926416458138794</v>
      </c>
      <c r="V106" s="89">
        <f t="shared" si="23"/>
        <v>1.2930001484662723</v>
      </c>
      <c r="W106" s="146"/>
      <c r="X106" s="147"/>
      <c r="Y106" s="147"/>
      <c r="Z106" s="145"/>
    </row>
    <row r="107" spans="1:26" x14ac:dyDescent="0.25">
      <c r="A107" s="30" t="s">
        <v>217</v>
      </c>
      <c r="B107" s="41">
        <v>0.45833333333333331</v>
      </c>
      <c r="C107" s="41">
        <v>0.58394160583941601</v>
      </c>
      <c r="D107" s="41">
        <v>0.49230769230769234</v>
      </c>
      <c r="E107" s="41">
        <v>0.58518518518518514</v>
      </c>
      <c r="F107" s="41">
        <v>0.40067340067340068</v>
      </c>
      <c r="G107" s="41">
        <v>0.49419953596287702</v>
      </c>
      <c r="H107" s="41">
        <v>0.53109656301145658</v>
      </c>
      <c r="I107" s="41">
        <v>0.532258064516129</v>
      </c>
      <c r="J107" s="41">
        <v>0.6238894373149062</v>
      </c>
      <c r="K107" s="41">
        <v>0.62751971954425945</v>
      </c>
      <c r="L107" s="41">
        <v>0.60568260568260568</v>
      </c>
      <c r="M107" s="41">
        <v>0.65120967741935487</v>
      </c>
      <c r="N107" s="41">
        <v>0.62578616352201255</v>
      </c>
      <c r="O107" s="41">
        <v>0.67816091954022983</v>
      </c>
      <c r="P107" s="41">
        <v>0.62420382165605093</v>
      </c>
      <c r="Q107" s="41">
        <v>0.70679012345679015</v>
      </c>
      <c r="R107" s="41">
        <v>0.58854166666666663</v>
      </c>
      <c r="S107" s="41">
        <v>0.72165943077665218</v>
      </c>
      <c r="T107" s="89">
        <f t="shared" si="21"/>
        <v>9.7769993461745983</v>
      </c>
      <c r="U107" s="89">
        <f t="shared" si="22"/>
        <v>4.3498511236422344</v>
      </c>
      <c r="V107" s="89">
        <f t="shared" si="23"/>
        <v>13.311776410998554</v>
      </c>
      <c r="W107" s="146"/>
      <c r="X107" s="147"/>
      <c r="Y107" s="147"/>
      <c r="Z107" s="145"/>
    </row>
    <row r="108" spans="1:26" x14ac:dyDescent="0.25">
      <c r="A108" s="30" t="s">
        <v>218</v>
      </c>
      <c r="B108" s="41">
        <v>0.29629629629629628</v>
      </c>
      <c r="C108" s="41">
        <v>0.74363992172211346</v>
      </c>
      <c r="D108" s="41">
        <v>0.51820728291316531</v>
      </c>
      <c r="E108" s="41">
        <v>0.41390205371248023</v>
      </c>
      <c r="F108" s="41">
        <v>0.548828125</v>
      </c>
      <c r="G108" s="41">
        <v>0.40409683426443205</v>
      </c>
      <c r="H108" s="41">
        <v>0.45923460898502494</v>
      </c>
      <c r="I108" s="41">
        <v>0.42268498006202926</v>
      </c>
      <c r="J108" s="41">
        <v>0.41216392586791961</v>
      </c>
      <c r="K108" s="41">
        <v>0.51093613298337703</v>
      </c>
      <c r="L108" s="41">
        <v>0.51329310063611155</v>
      </c>
      <c r="M108" s="41">
        <v>0.53684742763241056</v>
      </c>
      <c r="N108" s="41">
        <v>0.53751363140676123</v>
      </c>
      <c r="O108" s="41">
        <v>0.62208398133748055</v>
      </c>
      <c r="P108" s="41">
        <v>0.62329155381999113</v>
      </c>
      <c r="Q108" s="41">
        <v>0.60905369846993473</v>
      </c>
      <c r="R108" s="41">
        <v>0.59781233050081362</v>
      </c>
      <c r="S108" s="41">
        <v>0.61082859706850134</v>
      </c>
      <c r="T108" s="89">
        <f t="shared" si="21"/>
        <v>19.866467120058175</v>
      </c>
      <c r="U108" s="89">
        <f t="shared" si="22"/>
        <v>-1.1255384268979207</v>
      </c>
      <c r="V108" s="89">
        <f t="shared" si="23"/>
        <v>1.3016266567687729</v>
      </c>
      <c r="W108" s="146"/>
      <c r="X108" s="147"/>
      <c r="Y108" s="147"/>
      <c r="Z108" s="145"/>
    </row>
    <row r="109" spans="1:26" x14ac:dyDescent="0.25">
      <c r="A109" s="30" t="s">
        <v>67</v>
      </c>
      <c r="B109" s="41">
        <v>0.40490797546012269</v>
      </c>
      <c r="C109" s="41">
        <v>0.66415094339622638</v>
      </c>
      <c r="D109" s="41">
        <v>0.34215622982569399</v>
      </c>
      <c r="E109" s="41">
        <v>0.85306406685236769</v>
      </c>
      <c r="F109" s="41">
        <v>0.70808588396528094</v>
      </c>
      <c r="G109" s="41">
        <v>0.68232189973614776</v>
      </c>
      <c r="H109" s="41">
        <v>0.69439252336448598</v>
      </c>
      <c r="I109" s="41">
        <v>0.67479674796747968</v>
      </c>
      <c r="J109" s="41">
        <v>0.74193548387096775</v>
      </c>
      <c r="K109" s="41">
        <v>0.58181818181818179</v>
      </c>
      <c r="L109" s="41">
        <v>0.58187134502923976</v>
      </c>
      <c r="M109" s="41">
        <v>0.59946236559139787</v>
      </c>
      <c r="N109" s="41">
        <v>0.55718475073313778</v>
      </c>
      <c r="O109" s="41">
        <v>0.65</v>
      </c>
      <c r="P109" s="41">
        <v>0.83606557377049184</v>
      </c>
      <c r="Q109" s="41">
        <v>0.80882352941176472</v>
      </c>
      <c r="R109" s="41" t="s">
        <v>62</v>
      </c>
      <c r="S109" s="41" t="s">
        <v>62</v>
      </c>
      <c r="T109" s="41" t="s">
        <v>62</v>
      </c>
      <c r="U109" s="41" t="s">
        <v>62</v>
      </c>
      <c r="V109" s="41" t="s">
        <v>62</v>
      </c>
      <c r="W109" s="146"/>
      <c r="X109" s="147"/>
      <c r="Y109" s="147"/>
      <c r="Z109" s="145"/>
    </row>
    <row r="110" spans="1:26" x14ac:dyDescent="0.25">
      <c r="A110" s="81" t="s">
        <v>1</v>
      </c>
      <c r="B110" s="40">
        <v>0.66658579105335991</v>
      </c>
      <c r="C110" s="40">
        <v>0.6912781111500006</v>
      </c>
      <c r="D110" s="40">
        <v>0.70922233792689326</v>
      </c>
      <c r="E110" s="40">
        <v>0.7113320616485761</v>
      </c>
      <c r="F110" s="40">
        <v>0.6846562721474132</v>
      </c>
      <c r="G110" s="40">
        <v>0.68973220651564271</v>
      </c>
      <c r="H110" s="40">
        <v>0.69461321726761271</v>
      </c>
      <c r="I110" s="40">
        <v>0.7024570399536062</v>
      </c>
      <c r="J110" s="40">
        <v>0.71157616916382926</v>
      </c>
      <c r="K110" s="40">
        <v>0.72363000835048441</v>
      </c>
      <c r="L110" s="40">
        <v>0.73983376445526472</v>
      </c>
      <c r="M110" s="40">
        <v>0.74877261002307971</v>
      </c>
      <c r="N110" s="40">
        <v>0.73562169704699432</v>
      </c>
      <c r="O110" s="61">
        <v>0.75559151532642077</v>
      </c>
      <c r="P110" s="61">
        <v>0.75558506614668253</v>
      </c>
      <c r="Q110" s="61">
        <v>0.75949903510144479</v>
      </c>
      <c r="R110" s="61">
        <v>0.76487132988940454</v>
      </c>
      <c r="S110" s="61">
        <v>0.77306330481553465</v>
      </c>
      <c r="T110" s="90">
        <f t="shared" si="21"/>
        <v>6.1487135651705387</v>
      </c>
      <c r="U110" s="90">
        <f t="shared" si="22"/>
        <v>1.7471789489113876</v>
      </c>
      <c r="V110" s="90">
        <f t="shared" si="23"/>
        <v>0.81919749261301078</v>
      </c>
      <c r="W110" s="146"/>
      <c r="X110" s="147"/>
      <c r="Y110" s="147"/>
    </row>
    <row r="111" spans="1:26" x14ac:dyDescent="0.25">
      <c r="A111" s="57" t="s">
        <v>259</v>
      </c>
      <c r="B111" s="57"/>
      <c r="C111" s="47"/>
      <c r="D111" s="47"/>
      <c r="E111" s="47"/>
      <c r="F111" s="47"/>
      <c r="G111" s="47"/>
      <c r="H111" s="6"/>
      <c r="I111" s="6"/>
      <c r="J111" s="6"/>
      <c r="K111" s="6"/>
      <c r="L111" s="6"/>
      <c r="M111" s="6"/>
      <c r="N111" s="6"/>
      <c r="O111" s="6"/>
      <c r="P111" s="6"/>
      <c r="Q111" s="6"/>
      <c r="V111" s="12"/>
      <c r="W111" s="146"/>
      <c r="X111" s="147"/>
      <c r="Y111" s="147"/>
    </row>
    <row r="112" spans="1:26" x14ac:dyDescent="0.25">
      <c r="A112" s="13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V112" s="12"/>
      <c r="W112" s="146"/>
      <c r="X112" s="147"/>
      <c r="Y112" s="147"/>
    </row>
    <row r="113" spans="1:25" ht="18" x14ac:dyDescent="0.25">
      <c r="A113" s="56" t="s">
        <v>264</v>
      </c>
      <c r="B113" s="56"/>
      <c r="C113" s="46"/>
      <c r="D113" s="46"/>
      <c r="E113" s="46"/>
      <c r="F113" s="46"/>
      <c r="G113" s="46"/>
      <c r="H113" s="6"/>
      <c r="I113" s="6"/>
      <c r="J113" s="6"/>
      <c r="K113" s="6"/>
      <c r="L113" s="6"/>
      <c r="M113" s="6"/>
      <c r="N113" s="6"/>
      <c r="O113" s="6"/>
      <c r="P113" s="6"/>
      <c r="Q113" s="111"/>
      <c r="R113" s="111"/>
      <c r="S113" s="111"/>
      <c r="T113" s="111"/>
      <c r="U113" s="111"/>
      <c r="V113" s="12"/>
      <c r="W113" s="146"/>
      <c r="X113" s="147"/>
      <c r="Y113" s="147"/>
    </row>
    <row r="114" spans="1:25" ht="45" customHeight="1" x14ac:dyDescent="0.25">
      <c r="A114" s="14" t="s">
        <v>71</v>
      </c>
      <c r="B114" s="38">
        <v>2007</v>
      </c>
      <c r="C114" s="38">
        <v>2008</v>
      </c>
      <c r="D114" s="38">
        <v>2009</v>
      </c>
      <c r="E114" s="38">
        <v>2010</v>
      </c>
      <c r="F114" s="38">
        <v>2011</v>
      </c>
      <c r="G114" s="38">
        <v>2012</v>
      </c>
      <c r="H114" s="38">
        <v>2013</v>
      </c>
      <c r="I114" s="38">
        <v>2014</v>
      </c>
      <c r="J114" s="38">
        <v>2015</v>
      </c>
      <c r="K114" s="38">
        <v>2016</v>
      </c>
      <c r="L114" s="38">
        <v>2017</v>
      </c>
      <c r="M114" s="38">
        <v>2018</v>
      </c>
      <c r="N114" s="38">
        <v>2019</v>
      </c>
      <c r="O114" s="38">
        <v>2020</v>
      </c>
      <c r="P114" s="38">
        <v>2021</v>
      </c>
      <c r="Q114" s="38">
        <v>2022</v>
      </c>
      <c r="R114" s="38">
        <v>2023</v>
      </c>
      <c r="S114" s="38">
        <v>2024</v>
      </c>
      <c r="T114" s="39" t="s">
        <v>373</v>
      </c>
      <c r="U114" s="39" t="s">
        <v>374</v>
      </c>
      <c r="V114" s="39" t="s">
        <v>375</v>
      </c>
      <c r="W114" s="146"/>
      <c r="X114" s="147"/>
      <c r="Y114" s="147"/>
    </row>
    <row r="115" spans="1:25" x14ac:dyDescent="0.25">
      <c r="A115" s="19" t="s">
        <v>198</v>
      </c>
      <c r="B115" s="41">
        <v>0.72113289760348587</v>
      </c>
      <c r="C115" s="41">
        <v>0.6993222427603204</v>
      </c>
      <c r="D115" s="41">
        <v>0.74222982606216137</v>
      </c>
      <c r="E115" s="41">
        <v>0.68287526427061307</v>
      </c>
      <c r="F115" s="41">
        <v>0.66763392857142856</v>
      </c>
      <c r="G115" s="41">
        <v>0.70557532621589558</v>
      </c>
      <c r="H115" s="41">
        <v>0.66460176991150444</v>
      </c>
      <c r="I115" s="41">
        <v>0.67593017914561326</v>
      </c>
      <c r="J115" s="41">
        <v>0.6985743380855397</v>
      </c>
      <c r="K115" s="41">
        <v>0.75080282594733461</v>
      </c>
      <c r="L115" s="41">
        <v>0.75640478223740393</v>
      </c>
      <c r="M115" s="41">
        <v>0.74264705882352944</v>
      </c>
      <c r="N115" s="41">
        <v>0.74498077744553615</v>
      </c>
      <c r="O115" s="41">
        <v>0.57238605898123329</v>
      </c>
      <c r="P115" s="41">
        <v>0.76121562952243127</v>
      </c>
      <c r="Q115" s="41">
        <v>0.78131067961165046</v>
      </c>
      <c r="R115" s="41">
        <v>0.76642168121267795</v>
      </c>
      <c r="S115" s="41">
        <v>0.75695309256953092</v>
      </c>
      <c r="T115" s="89">
        <f t="shared" ref="T115:T131" si="24">(S115-J115)*100</f>
        <v>5.8378754483991209</v>
      </c>
      <c r="U115" s="89">
        <f t="shared" ref="U115:U131" si="25">(S115-O115)*100</f>
        <v>18.456703358829763</v>
      </c>
      <c r="V115" s="89">
        <f t="shared" ref="V115:V131" si="26">(S115-R115)*100</f>
        <v>-0.94685886431470356</v>
      </c>
      <c r="W115" s="146"/>
      <c r="X115" s="147"/>
      <c r="Y115" s="147"/>
    </row>
    <row r="116" spans="1:25" x14ac:dyDescent="0.25">
      <c r="A116" s="19" t="s">
        <v>199</v>
      </c>
      <c r="B116" s="41">
        <v>0.59937888198757761</v>
      </c>
      <c r="C116" s="41">
        <v>0.64469742360695026</v>
      </c>
      <c r="D116" s="41">
        <v>0.63863841298467083</v>
      </c>
      <c r="E116" s="41">
        <v>0.62584894011113401</v>
      </c>
      <c r="F116" s="41">
        <v>0.57446808510638303</v>
      </c>
      <c r="G116" s="41">
        <v>0.585439229843562</v>
      </c>
      <c r="H116" s="41">
        <v>0.58765120057772158</v>
      </c>
      <c r="I116" s="41">
        <v>0.62152133580705005</v>
      </c>
      <c r="J116" s="41">
        <v>0.60031043849437327</v>
      </c>
      <c r="K116" s="41">
        <v>0.65090838054307487</v>
      </c>
      <c r="L116" s="41">
        <v>0.68204315977034247</v>
      </c>
      <c r="M116" s="41">
        <v>0.6919566457501426</v>
      </c>
      <c r="N116" s="41">
        <v>0.68879294837200933</v>
      </c>
      <c r="O116" s="41">
        <v>0.70526315789473681</v>
      </c>
      <c r="P116" s="41">
        <v>0.68596702854845193</v>
      </c>
      <c r="Q116" s="41">
        <v>0.72498014297061164</v>
      </c>
      <c r="R116" s="41">
        <v>0.73464991023339321</v>
      </c>
      <c r="S116" s="41">
        <v>0.73390036452004859</v>
      </c>
      <c r="T116" s="89">
        <f t="shared" si="24"/>
        <v>13.358992602567533</v>
      </c>
      <c r="U116" s="89">
        <f t="shared" si="25"/>
        <v>2.8637206625311773</v>
      </c>
      <c r="V116" s="89">
        <f t="shared" si="26"/>
        <v>-7.4954571334462372E-2</v>
      </c>
      <c r="W116" s="146"/>
      <c r="X116" s="147"/>
      <c r="Y116" s="147"/>
    </row>
    <row r="117" spans="1:25" x14ac:dyDescent="0.25">
      <c r="A117" s="19" t="s">
        <v>200</v>
      </c>
      <c r="B117" s="41">
        <v>0.63286893704850367</v>
      </c>
      <c r="C117" s="41">
        <v>0.65818045675776859</v>
      </c>
      <c r="D117" s="41">
        <v>0.6320218579234973</v>
      </c>
      <c r="E117" s="41">
        <v>0.62077341624562765</v>
      </c>
      <c r="F117" s="41">
        <v>0.63252169045619933</v>
      </c>
      <c r="G117" s="41">
        <v>0.61720142602495542</v>
      </c>
      <c r="H117" s="41">
        <v>0.62734864300626303</v>
      </c>
      <c r="I117" s="41">
        <v>0.64415700267618203</v>
      </c>
      <c r="J117" s="41">
        <v>0.65708069246050516</v>
      </c>
      <c r="K117" s="41">
        <v>0.67505530973451322</v>
      </c>
      <c r="L117" s="41">
        <v>0.69128397375820061</v>
      </c>
      <c r="M117" s="41">
        <v>0.70992020311933257</v>
      </c>
      <c r="N117" s="41">
        <v>0.69935720844811755</v>
      </c>
      <c r="O117" s="41">
        <v>0.71477294874293507</v>
      </c>
      <c r="P117" s="41">
        <v>0.71176649437519002</v>
      </c>
      <c r="Q117" s="41">
        <v>0.72591006423982873</v>
      </c>
      <c r="R117" s="41">
        <v>0.72751703618389485</v>
      </c>
      <c r="S117" s="41">
        <v>0.7402450518378888</v>
      </c>
      <c r="T117" s="89">
        <f t="shared" si="24"/>
        <v>8.3164359377383654</v>
      </c>
      <c r="U117" s="89">
        <f t="shared" si="25"/>
        <v>2.5472103094953735</v>
      </c>
      <c r="V117" s="89">
        <f t="shared" si="26"/>
        <v>1.2728015653993952</v>
      </c>
      <c r="W117" s="146"/>
      <c r="X117" s="147"/>
      <c r="Y117" s="147"/>
    </row>
    <row r="118" spans="1:25" x14ac:dyDescent="0.25">
      <c r="A118" s="19" t="s">
        <v>201</v>
      </c>
      <c r="B118" s="41">
        <v>0.61911764705882355</v>
      </c>
      <c r="C118" s="41">
        <v>0.57037037037037042</v>
      </c>
      <c r="D118" s="41">
        <v>0.62400793650793651</v>
      </c>
      <c r="E118" s="41">
        <v>0.64132947976878618</v>
      </c>
      <c r="F118" s="41">
        <v>0.59964001028542047</v>
      </c>
      <c r="G118" s="41">
        <v>0.54282765737874095</v>
      </c>
      <c r="H118" s="41">
        <v>0.63178548070634399</v>
      </c>
      <c r="I118" s="41">
        <v>0.56003889158969378</v>
      </c>
      <c r="J118" s="41">
        <v>0.64008679142934632</v>
      </c>
      <c r="K118" s="41">
        <v>0.69483688671975341</v>
      </c>
      <c r="L118" s="41">
        <v>0.68499043977055452</v>
      </c>
      <c r="M118" s="41">
        <v>0.69350902879453391</v>
      </c>
      <c r="N118" s="41">
        <v>0.66248189280540803</v>
      </c>
      <c r="O118" s="41">
        <v>0.7188652482269503</v>
      </c>
      <c r="P118" s="41">
        <v>0.72232746955345062</v>
      </c>
      <c r="Q118" s="41">
        <v>0.73295283869029737</v>
      </c>
      <c r="R118" s="41">
        <v>0.77191072400653238</v>
      </c>
      <c r="S118" s="41">
        <v>0.74082073434125273</v>
      </c>
      <c r="T118" s="89">
        <f t="shared" si="24"/>
        <v>10.07339429119064</v>
      </c>
      <c r="U118" s="89">
        <f t="shared" si="25"/>
        <v>2.1955486114302425</v>
      </c>
      <c r="V118" s="89">
        <f t="shared" si="26"/>
        <v>-3.1089989665279649</v>
      </c>
      <c r="W118" s="146"/>
      <c r="X118" s="147"/>
      <c r="Y118" s="147"/>
    </row>
    <row r="119" spans="1:25" x14ac:dyDescent="0.25">
      <c r="A119" s="19" t="s">
        <v>202</v>
      </c>
      <c r="B119" s="41">
        <v>0.66904304908143675</v>
      </c>
      <c r="C119" s="41">
        <v>0.65647775481344506</v>
      </c>
      <c r="D119" s="41">
        <v>0.70364802565644413</v>
      </c>
      <c r="E119" s="41">
        <v>0.70516877637130804</v>
      </c>
      <c r="F119" s="41">
        <v>0.675033921302578</v>
      </c>
      <c r="G119" s="41">
        <v>0.66322314049586772</v>
      </c>
      <c r="H119" s="41">
        <v>0.67428524617023022</v>
      </c>
      <c r="I119" s="41">
        <v>0.69763175450300197</v>
      </c>
      <c r="J119" s="41">
        <v>0.69486457966936332</v>
      </c>
      <c r="K119" s="41">
        <v>0.7181240447268924</v>
      </c>
      <c r="L119" s="41">
        <v>0.73657184774635265</v>
      </c>
      <c r="M119" s="41">
        <v>0.73299888517279821</v>
      </c>
      <c r="N119" s="41">
        <v>0.73190198738925694</v>
      </c>
      <c r="O119" s="41">
        <v>0.752943127176256</v>
      </c>
      <c r="P119" s="41">
        <v>0.75712168615181952</v>
      </c>
      <c r="Q119" s="41">
        <v>0.77158055936165071</v>
      </c>
      <c r="R119" s="41">
        <v>0.78583448064861561</v>
      </c>
      <c r="S119" s="41">
        <v>0.77490069148153595</v>
      </c>
      <c r="T119" s="89">
        <f t="shared" si="24"/>
        <v>8.0036111812172628</v>
      </c>
      <c r="U119" s="89">
        <f t="shared" si="25"/>
        <v>2.1957564305279953</v>
      </c>
      <c r="V119" s="89">
        <f t="shared" si="26"/>
        <v>-1.0933789167079655</v>
      </c>
      <c r="W119" s="146"/>
      <c r="X119" s="147"/>
      <c r="Y119" s="147"/>
    </row>
    <row r="120" spans="1:25" x14ac:dyDescent="0.25">
      <c r="A120" s="19" t="s">
        <v>203</v>
      </c>
      <c r="B120" s="41">
        <v>0.69853409815168899</v>
      </c>
      <c r="C120" s="41">
        <v>0.71169224119299768</v>
      </c>
      <c r="D120" s="41">
        <v>0.72729005814507675</v>
      </c>
      <c r="E120" s="41">
        <v>0.72309381410534224</v>
      </c>
      <c r="F120" s="41">
        <v>0.67159323554982187</v>
      </c>
      <c r="G120" s="41">
        <v>0.71107571057265029</v>
      </c>
      <c r="H120" s="41">
        <v>0.70169491525423733</v>
      </c>
      <c r="I120" s="41">
        <v>0.72658732295761752</v>
      </c>
      <c r="J120" s="41">
        <v>0.73650829287458253</v>
      </c>
      <c r="K120" s="41">
        <v>0.7318350794187225</v>
      </c>
      <c r="L120" s="41">
        <v>0.75178807947019866</v>
      </c>
      <c r="M120" s="41">
        <v>0.76429628340151445</v>
      </c>
      <c r="N120" s="41">
        <v>0.74987467193536017</v>
      </c>
      <c r="O120" s="41">
        <v>0.78709286375091714</v>
      </c>
      <c r="P120" s="41">
        <v>0.7689512961508248</v>
      </c>
      <c r="Q120" s="41">
        <v>0.76842585650487338</v>
      </c>
      <c r="R120" s="41">
        <v>0.779297765617875</v>
      </c>
      <c r="S120" s="41">
        <v>0.78335527103027403</v>
      </c>
      <c r="T120" s="89">
        <f t="shared" si="24"/>
        <v>4.6846978155691499</v>
      </c>
      <c r="U120" s="89">
        <f t="shared" si="25"/>
        <v>-0.37375927206431125</v>
      </c>
      <c r="V120" s="89">
        <f t="shared" si="26"/>
        <v>0.40575054123990206</v>
      </c>
      <c r="W120" s="146"/>
      <c r="X120" s="147"/>
      <c r="Y120" s="147"/>
    </row>
    <row r="121" spans="1:25" x14ac:dyDescent="0.25">
      <c r="A121" s="19" t="s">
        <v>204</v>
      </c>
      <c r="B121" s="41">
        <v>0.6428307647964836</v>
      </c>
      <c r="C121" s="41">
        <v>0.66595838476459179</v>
      </c>
      <c r="D121" s="41">
        <v>0.70202522969466519</v>
      </c>
      <c r="E121" s="41">
        <v>0.69640082765928502</v>
      </c>
      <c r="F121" s="41">
        <v>0.66891033087783081</v>
      </c>
      <c r="G121" s="41">
        <v>0.67341195574393131</v>
      </c>
      <c r="H121" s="41">
        <v>0.6835265005008857</v>
      </c>
      <c r="I121" s="41">
        <v>0.68838004233914041</v>
      </c>
      <c r="J121" s="41">
        <v>0.70123407510893787</v>
      </c>
      <c r="K121" s="41">
        <v>0.71203269850019835</v>
      </c>
      <c r="L121" s="41">
        <v>0.7330428679633374</v>
      </c>
      <c r="M121" s="41">
        <v>0.74307080083910038</v>
      </c>
      <c r="N121" s="41">
        <v>0.72739879313777311</v>
      </c>
      <c r="O121" s="41">
        <v>0.76478626704336072</v>
      </c>
      <c r="P121" s="41">
        <v>0.7546099895542433</v>
      </c>
      <c r="Q121" s="41">
        <v>0.74644551362075129</v>
      </c>
      <c r="R121" s="41">
        <v>0.75223816134505628</v>
      </c>
      <c r="S121" s="41">
        <v>0.76116965194444275</v>
      </c>
      <c r="T121" s="89">
        <f t="shared" si="24"/>
        <v>5.9935576835504882</v>
      </c>
      <c r="U121" s="89">
        <f t="shared" si="25"/>
        <v>-0.36166150989179746</v>
      </c>
      <c r="V121" s="89">
        <f t="shared" si="26"/>
        <v>0.89314905993864713</v>
      </c>
      <c r="W121" s="146"/>
      <c r="X121" s="147"/>
      <c r="Y121" s="147"/>
    </row>
    <row r="122" spans="1:25" x14ac:dyDescent="0.25">
      <c r="A122" s="19" t="s">
        <v>246</v>
      </c>
      <c r="B122" s="41">
        <v>0.62860520094562644</v>
      </c>
      <c r="C122" s="41">
        <v>0.706700379266751</v>
      </c>
      <c r="D122" s="41">
        <v>0.70731707317073167</v>
      </c>
      <c r="E122" s="41">
        <v>0.71583256305295129</v>
      </c>
      <c r="F122" s="41">
        <v>0.70593314419637354</v>
      </c>
      <c r="G122" s="41">
        <v>0.64339124697602812</v>
      </c>
      <c r="H122" s="41">
        <v>0.71613941018766758</v>
      </c>
      <c r="I122" s="41">
        <v>0.7089860748476936</v>
      </c>
      <c r="J122" s="41">
        <v>0.7222959522229595</v>
      </c>
      <c r="K122" s="41">
        <v>0.70407933288257829</v>
      </c>
      <c r="L122" s="41">
        <v>0.73155381944444442</v>
      </c>
      <c r="M122" s="41">
        <v>0.73144914884329992</v>
      </c>
      <c r="N122" s="41">
        <v>0.72567537887107403</v>
      </c>
      <c r="O122" s="41">
        <v>0.69180907483794929</v>
      </c>
      <c r="P122" s="41">
        <v>0.72517664559315731</v>
      </c>
      <c r="Q122" s="41">
        <v>0.75705492974102895</v>
      </c>
      <c r="R122" s="41">
        <v>0.76728695284415305</v>
      </c>
      <c r="S122" s="41">
        <v>0.79158252736741419</v>
      </c>
      <c r="T122" s="89">
        <f t="shared" si="24"/>
        <v>6.9286575144454687</v>
      </c>
      <c r="U122" s="89">
        <f t="shared" si="25"/>
        <v>9.9773452529464901</v>
      </c>
      <c r="V122" s="89">
        <f t="shared" si="26"/>
        <v>2.4295574523261143</v>
      </c>
      <c r="W122" s="146"/>
      <c r="X122" s="147"/>
      <c r="Y122" s="147"/>
    </row>
    <row r="123" spans="1:25" x14ac:dyDescent="0.25">
      <c r="A123" s="19" t="s">
        <v>205</v>
      </c>
      <c r="B123" s="41">
        <v>0.75077439339184304</v>
      </c>
      <c r="C123" s="41">
        <v>0.77251184834123221</v>
      </c>
      <c r="D123" s="41">
        <v>0.75806734479130133</v>
      </c>
      <c r="E123" s="41">
        <v>0.78063466232709522</v>
      </c>
      <c r="F123" s="41">
        <v>0.75211396358650107</v>
      </c>
      <c r="G123" s="41">
        <v>0.72718679560823096</v>
      </c>
      <c r="H123" s="41">
        <v>0.74322764614026748</v>
      </c>
      <c r="I123" s="41">
        <v>0.75441786051923498</v>
      </c>
      <c r="J123" s="41">
        <v>0.76072524805482189</v>
      </c>
      <c r="K123" s="41">
        <v>0.76759637345144993</v>
      </c>
      <c r="L123" s="41">
        <v>0.77740112994350286</v>
      </c>
      <c r="M123" s="41">
        <v>0.78478123018389345</v>
      </c>
      <c r="N123" s="41">
        <v>0.77265217943830222</v>
      </c>
      <c r="O123" s="41">
        <v>0.7698825341806278</v>
      </c>
      <c r="P123" s="41">
        <v>0.76817647826654478</v>
      </c>
      <c r="Q123" s="41">
        <v>0.79866387215090384</v>
      </c>
      <c r="R123" s="41">
        <v>0.78833861043073061</v>
      </c>
      <c r="S123" s="41">
        <v>0.80247131509267433</v>
      </c>
      <c r="T123" s="89">
        <f t="shared" si="24"/>
        <v>4.1746067037852441</v>
      </c>
      <c r="U123" s="89">
        <f t="shared" si="25"/>
        <v>3.2588780912046533</v>
      </c>
      <c r="V123" s="89">
        <f t="shared" si="26"/>
        <v>1.4132704661943718</v>
      </c>
      <c r="W123" s="146"/>
      <c r="X123" s="147"/>
      <c r="Y123" s="147"/>
    </row>
    <row r="124" spans="1:25" x14ac:dyDescent="0.25">
      <c r="A124" s="19" t="s">
        <v>219</v>
      </c>
      <c r="B124" s="41">
        <v>0.73598466698610443</v>
      </c>
      <c r="C124" s="41">
        <v>0.78194411272987818</v>
      </c>
      <c r="D124" s="41">
        <v>0.7174989682212134</v>
      </c>
      <c r="E124" s="41">
        <v>0.76980239824353991</v>
      </c>
      <c r="F124" s="41">
        <v>0.77102281793521621</v>
      </c>
      <c r="G124" s="41">
        <v>0.76106760428320286</v>
      </c>
      <c r="H124" s="41">
        <v>0.75846605845059534</v>
      </c>
      <c r="I124" s="41">
        <v>0.74709657701711496</v>
      </c>
      <c r="J124" s="41">
        <v>0.75200770960488272</v>
      </c>
      <c r="K124" s="41">
        <v>0.76474268731424999</v>
      </c>
      <c r="L124" s="41">
        <v>0.76061196940152997</v>
      </c>
      <c r="M124" s="41">
        <v>0.74224866896335739</v>
      </c>
      <c r="N124" s="41">
        <v>0.75412197854970386</v>
      </c>
      <c r="O124" s="41">
        <v>0.75464370145221205</v>
      </c>
      <c r="P124" s="41">
        <v>0.76658389499822632</v>
      </c>
      <c r="Q124" s="41">
        <v>0.76985100788781768</v>
      </c>
      <c r="R124" s="41">
        <v>0.79008967928256579</v>
      </c>
      <c r="S124" s="41">
        <v>0.7923735174898664</v>
      </c>
      <c r="T124" s="89">
        <f t="shared" si="24"/>
        <v>4.0365807884983678</v>
      </c>
      <c r="U124" s="89">
        <f t="shared" si="25"/>
        <v>3.7729816037654351</v>
      </c>
      <c r="V124" s="89">
        <f t="shared" si="26"/>
        <v>0.22838382073006036</v>
      </c>
      <c r="W124" s="146"/>
      <c r="X124" s="147"/>
      <c r="Y124" s="147"/>
    </row>
    <row r="125" spans="1:25" x14ac:dyDescent="0.25">
      <c r="A125" s="19" t="s">
        <v>206</v>
      </c>
      <c r="B125" s="41">
        <v>0.72525568421942355</v>
      </c>
      <c r="C125" s="41">
        <v>0.74389390311291215</v>
      </c>
      <c r="D125" s="41">
        <v>0.73231761964509767</v>
      </c>
      <c r="E125" s="41">
        <v>0.75207634433117287</v>
      </c>
      <c r="F125" s="41">
        <v>0.73011380926297853</v>
      </c>
      <c r="G125" s="41">
        <v>0.74166886485535921</v>
      </c>
      <c r="H125" s="41">
        <v>0.73005772208925801</v>
      </c>
      <c r="I125" s="41">
        <v>0.7381065088757397</v>
      </c>
      <c r="J125" s="41">
        <v>0.73648122642074376</v>
      </c>
      <c r="K125" s="41">
        <v>0.75385581061692974</v>
      </c>
      <c r="L125" s="41">
        <v>0.76009754610577651</v>
      </c>
      <c r="M125" s="41">
        <v>0.76812674743709231</v>
      </c>
      <c r="N125" s="41">
        <v>0.75405668371990831</v>
      </c>
      <c r="O125" s="41">
        <v>0.76457876076312681</v>
      </c>
      <c r="P125" s="41">
        <v>0.7762220922632358</v>
      </c>
      <c r="Q125" s="41">
        <v>0.78161556032394264</v>
      </c>
      <c r="R125" s="41">
        <v>0.79111043225904998</v>
      </c>
      <c r="S125" s="41">
        <v>0.79129716836890707</v>
      </c>
      <c r="T125" s="89">
        <f t="shared" si="24"/>
        <v>5.4815941948163305</v>
      </c>
      <c r="U125" s="89">
        <f t="shared" si="25"/>
        <v>2.6718407605780259</v>
      </c>
      <c r="V125" s="89">
        <f t="shared" si="26"/>
        <v>1.8673610985708855E-2</v>
      </c>
      <c r="W125" s="146"/>
      <c r="X125" s="147"/>
      <c r="Y125" s="147"/>
    </row>
    <row r="126" spans="1:25" x14ac:dyDescent="0.25">
      <c r="A126" s="19" t="s">
        <v>207</v>
      </c>
      <c r="B126" s="41">
        <v>0.74030552291421858</v>
      </c>
      <c r="C126" s="41">
        <v>0.76031475967673334</v>
      </c>
      <c r="D126" s="41">
        <v>0.7535358607414846</v>
      </c>
      <c r="E126" s="41">
        <v>0.75929041137788655</v>
      </c>
      <c r="F126" s="41">
        <v>0.75574128454182665</v>
      </c>
      <c r="G126" s="41">
        <v>0.74830023561090542</v>
      </c>
      <c r="H126" s="41">
        <v>0.73981679984408499</v>
      </c>
      <c r="I126" s="41">
        <v>0.74339546734611772</v>
      </c>
      <c r="J126" s="41">
        <v>0.73717452951791695</v>
      </c>
      <c r="K126" s="41">
        <v>0.75049695415197182</v>
      </c>
      <c r="L126" s="41">
        <v>0.75424785147280715</v>
      </c>
      <c r="M126" s="41">
        <v>0.77696453523188502</v>
      </c>
      <c r="N126" s="41">
        <v>0.75374225440367615</v>
      </c>
      <c r="O126" s="41">
        <v>0.75844042692223912</v>
      </c>
      <c r="P126" s="41">
        <v>0.76369990333853821</v>
      </c>
      <c r="Q126" s="41">
        <v>0.79541663644934368</v>
      </c>
      <c r="R126" s="41">
        <v>0.78760944547625367</v>
      </c>
      <c r="S126" s="41">
        <v>0.80132323939181882</v>
      </c>
      <c r="T126" s="89">
        <f t="shared" si="24"/>
        <v>6.4148709873901861</v>
      </c>
      <c r="U126" s="89">
        <f t="shared" si="25"/>
        <v>4.2882812469579701</v>
      </c>
      <c r="V126" s="89">
        <f t="shared" si="26"/>
        <v>1.3713793915565153</v>
      </c>
      <c r="W126" s="146"/>
      <c r="X126" s="147"/>
      <c r="Y126" s="147"/>
    </row>
    <row r="127" spans="1:25" x14ac:dyDescent="0.25">
      <c r="A127" s="19" t="s">
        <v>208</v>
      </c>
      <c r="B127" s="41">
        <v>0.72669552669552673</v>
      </c>
      <c r="C127" s="41">
        <v>0.77202335618177198</v>
      </c>
      <c r="D127" s="41">
        <v>0.75992393629664845</v>
      </c>
      <c r="E127" s="41">
        <v>0.78285369289595497</v>
      </c>
      <c r="F127" s="41">
        <v>0.76868327402135228</v>
      </c>
      <c r="G127" s="41">
        <v>0.77784112504751046</v>
      </c>
      <c r="H127" s="41">
        <v>0.728382502543235</v>
      </c>
      <c r="I127" s="41">
        <v>0.74661723818350323</v>
      </c>
      <c r="J127" s="41">
        <v>0.74442660959514895</v>
      </c>
      <c r="K127" s="41">
        <v>0.76048921352131815</v>
      </c>
      <c r="L127" s="41">
        <v>0.78703083109919569</v>
      </c>
      <c r="M127" s="41">
        <v>0.7757557063541024</v>
      </c>
      <c r="N127" s="41">
        <v>0.78600949028011635</v>
      </c>
      <c r="O127" s="41">
        <v>0.76633663366336635</v>
      </c>
      <c r="P127" s="41">
        <v>0.77617269923713683</v>
      </c>
      <c r="Q127" s="41">
        <v>0.77429805615550751</v>
      </c>
      <c r="R127" s="41">
        <v>0.75387407510819493</v>
      </c>
      <c r="S127" s="41">
        <v>0.79226655697243931</v>
      </c>
      <c r="T127" s="89">
        <f t="shared" si="24"/>
        <v>4.7839947377290359</v>
      </c>
      <c r="U127" s="89">
        <f t="shared" si="25"/>
        <v>2.5929923309072955</v>
      </c>
      <c r="V127" s="89">
        <f t="shared" si="26"/>
        <v>3.8392481864244377</v>
      </c>
      <c r="W127" s="146"/>
      <c r="X127" s="147"/>
      <c r="Y127" s="147"/>
    </row>
    <row r="128" spans="1:25" x14ac:dyDescent="0.25">
      <c r="A128" s="19" t="s">
        <v>209</v>
      </c>
      <c r="B128" s="41">
        <v>0.62485697940503437</v>
      </c>
      <c r="C128" s="41">
        <v>0.67109760729206225</v>
      </c>
      <c r="D128" s="41">
        <v>0.66811846689895471</v>
      </c>
      <c r="E128" s="41">
        <v>0.7217994412869666</v>
      </c>
      <c r="F128" s="41">
        <v>0.70023610606610975</v>
      </c>
      <c r="G128" s="41">
        <v>0.70895327590707391</v>
      </c>
      <c r="H128" s="41">
        <v>0.70215359609914674</v>
      </c>
      <c r="I128" s="41">
        <v>0.70940100519073901</v>
      </c>
      <c r="J128" s="41">
        <v>0.70949332922032848</v>
      </c>
      <c r="K128" s="41">
        <v>0.7339052416181332</v>
      </c>
      <c r="L128" s="41">
        <v>0.72512896094325718</v>
      </c>
      <c r="M128" s="41">
        <v>0.74688229141523854</v>
      </c>
      <c r="N128" s="41">
        <v>0.737979381443299</v>
      </c>
      <c r="O128" s="41">
        <v>0.72188103175995788</v>
      </c>
      <c r="P128" s="41">
        <v>0.75073120105670343</v>
      </c>
      <c r="Q128" s="41">
        <v>0.77809327138186202</v>
      </c>
      <c r="R128" s="41">
        <v>0.78301120675653724</v>
      </c>
      <c r="S128" s="41">
        <v>0.80088776157260622</v>
      </c>
      <c r="T128" s="89">
        <f t="shared" si="24"/>
        <v>9.1394432352277732</v>
      </c>
      <c r="U128" s="89">
        <f t="shared" si="25"/>
        <v>7.9006729812648331</v>
      </c>
      <c r="V128" s="89">
        <f t="shared" si="26"/>
        <v>1.7876554816068979</v>
      </c>
      <c r="W128" s="146"/>
      <c r="X128" s="147"/>
      <c r="Y128" s="147"/>
    </row>
    <row r="129" spans="1:25" x14ac:dyDescent="0.25">
      <c r="A129" s="19" t="s">
        <v>210</v>
      </c>
      <c r="B129" s="41">
        <v>0.54148471615720528</v>
      </c>
      <c r="C129" s="41">
        <v>0.57949790794979084</v>
      </c>
      <c r="D129" s="41">
        <v>0.60830860534124631</v>
      </c>
      <c r="E129" s="41">
        <v>0.67036011080332414</v>
      </c>
      <c r="F129" s="41">
        <v>0.56578947368421051</v>
      </c>
      <c r="G129" s="41">
        <v>0.63664596273291929</v>
      </c>
      <c r="H129" s="41">
        <v>0.59441489361702127</v>
      </c>
      <c r="I129" s="41">
        <v>0.65380374862183022</v>
      </c>
      <c r="J129" s="41">
        <v>0.67489270386266098</v>
      </c>
      <c r="K129" s="41">
        <v>0.69494949494949498</v>
      </c>
      <c r="L129" s="41">
        <v>0.7270833333333333</v>
      </c>
      <c r="M129" s="41">
        <v>0.7114661654135338</v>
      </c>
      <c r="N129" s="41">
        <v>0.70872865275142316</v>
      </c>
      <c r="O129" s="41">
        <v>0.66437007874015752</v>
      </c>
      <c r="P129" s="41">
        <v>0.65327695560253696</v>
      </c>
      <c r="Q129" s="41">
        <v>0.70608899297423888</v>
      </c>
      <c r="R129" s="41">
        <v>0.64200477326968974</v>
      </c>
      <c r="S129" s="41">
        <v>0.77262693156732887</v>
      </c>
      <c r="T129" s="89">
        <f t="shared" si="24"/>
        <v>9.7734227704667891</v>
      </c>
      <c r="U129" s="89">
        <f t="shared" si="25"/>
        <v>10.825685282717135</v>
      </c>
      <c r="V129" s="89">
        <f t="shared" si="26"/>
        <v>13.062215829763913</v>
      </c>
      <c r="W129" s="146"/>
      <c r="X129" s="147"/>
      <c r="Y129" s="147"/>
    </row>
    <row r="130" spans="1:25" x14ac:dyDescent="0.25">
      <c r="A130" s="19" t="s">
        <v>211</v>
      </c>
      <c r="B130" s="41">
        <v>0.49844344517468003</v>
      </c>
      <c r="C130" s="41">
        <v>0.66944580676802357</v>
      </c>
      <c r="D130" s="41">
        <v>0.71109162647961421</v>
      </c>
      <c r="E130" s="41">
        <v>0.67185628742514969</v>
      </c>
      <c r="F130" s="41">
        <v>0.63123466884709734</v>
      </c>
      <c r="G130" s="41">
        <v>0.66397338403041828</v>
      </c>
      <c r="H130" s="41">
        <v>0.67130214917825537</v>
      </c>
      <c r="I130" s="41">
        <v>0.68817204301075274</v>
      </c>
      <c r="J130" s="41">
        <v>0.68612244897959185</v>
      </c>
      <c r="K130" s="41">
        <v>0.68954758190327614</v>
      </c>
      <c r="L130" s="41">
        <v>0.72874182377837626</v>
      </c>
      <c r="M130" s="41">
        <v>0.72355371900826448</v>
      </c>
      <c r="N130" s="41">
        <v>0.68917197452229295</v>
      </c>
      <c r="O130" s="41">
        <v>0.71138014527845039</v>
      </c>
      <c r="P130" s="41">
        <v>0.70340201245807377</v>
      </c>
      <c r="Q130" s="41">
        <v>0.74721377912867271</v>
      </c>
      <c r="R130" s="41">
        <v>0.76437527021184604</v>
      </c>
      <c r="S130" s="41">
        <v>0.78153446033810148</v>
      </c>
      <c r="T130" s="89">
        <f t="shared" si="24"/>
        <v>9.5412011358509634</v>
      </c>
      <c r="U130" s="89">
        <f t="shared" si="25"/>
        <v>7.0154315059651084</v>
      </c>
      <c r="V130" s="89">
        <f t="shared" si="26"/>
        <v>1.7159190126255441</v>
      </c>
      <c r="W130" s="146"/>
      <c r="X130" s="147"/>
      <c r="Y130" s="147"/>
    </row>
    <row r="131" spans="1:25" x14ac:dyDescent="0.25">
      <c r="A131" s="81" t="s">
        <v>1</v>
      </c>
      <c r="B131" s="40">
        <v>0.66658579105335991</v>
      </c>
      <c r="C131" s="40">
        <v>0.6912781111500006</v>
      </c>
      <c r="D131" s="40">
        <v>0.70922233792689326</v>
      </c>
      <c r="E131" s="40">
        <v>0.7113320616485761</v>
      </c>
      <c r="F131" s="40">
        <v>0.6846562721474132</v>
      </c>
      <c r="G131" s="40">
        <v>0.68973220651564271</v>
      </c>
      <c r="H131" s="40">
        <v>0.69461321726761271</v>
      </c>
      <c r="I131" s="40">
        <v>0.7024570399536062</v>
      </c>
      <c r="J131" s="40">
        <v>0.71157616916382926</v>
      </c>
      <c r="K131" s="40">
        <v>0.72363000835048441</v>
      </c>
      <c r="L131" s="40">
        <v>0.73983376445526472</v>
      </c>
      <c r="M131" s="61">
        <v>0.74877261002307971</v>
      </c>
      <c r="N131" s="61">
        <v>0.73562169704699432</v>
      </c>
      <c r="O131" s="61">
        <v>0.75559151532642077</v>
      </c>
      <c r="P131" s="61">
        <v>0.75558506614668253</v>
      </c>
      <c r="Q131" s="61">
        <v>0.75949903510144479</v>
      </c>
      <c r="R131" s="61">
        <v>0.76487132988940454</v>
      </c>
      <c r="S131" s="61">
        <v>0.77306330481553465</v>
      </c>
      <c r="T131" s="90">
        <f t="shared" si="24"/>
        <v>6.1487135651705387</v>
      </c>
      <c r="U131" s="90">
        <f t="shared" si="25"/>
        <v>1.7471789489113876</v>
      </c>
      <c r="V131" s="90">
        <f t="shared" si="26"/>
        <v>0.81919749261301078</v>
      </c>
      <c r="W131" s="146"/>
      <c r="X131" s="147"/>
      <c r="Y131" s="147"/>
    </row>
    <row r="132" spans="1:25" x14ac:dyDescent="0.25">
      <c r="A132" s="117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98"/>
      <c r="N132" s="98"/>
      <c r="O132" s="98"/>
      <c r="P132" s="98"/>
      <c r="Q132" s="98"/>
      <c r="T132" s="113"/>
      <c r="U132" s="114"/>
      <c r="V132" s="114"/>
      <c r="W132" s="146"/>
      <c r="X132" s="147"/>
      <c r="Y132" s="147"/>
    </row>
    <row r="133" spans="1:25" ht="18" x14ac:dyDescent="0.25">
      <c r="A133" s="56" t="s">
        <v>263</v>
      </c>
      <c r="B133" s="56"/>
      <c r="C133" s="46"/>
      <c r="D133" s="46"/>
      <c r="E133" s="46"/>
      <c r="F133" s="46"/>
      <c r="G133" s="46"/>
      <c r="H133" s="6"/>
      <c r="I133" s="6"/>
      <c r="J133" s="6"/>
      <c r="K133" s="6"/>
      <c r="L133" s="6"/>
      <c r="M133" s="6"/>
      <c r="N133" s="6"/>
      <c r="O133" s="6"/>
      <c r="P133" s="6"/>
      <c r="Q133" s="6"/>
      <c r="T133" s="110"/>
      <c r="V133" s="12"/>
      <c r="W133" s="146"/>
      <c r="X133" s="147"/>
      <c r="Y133" s="147"/>
    </row>
    <row r="134" spans="1:25" ht="45" customHeight="1" x14ac:dyDescent="0.25">
      <c r="A134" s="14" t="s">
        <v>107</v>
      </c>
      <c r="B134" s="38">
        <v>2007</v>
      </c>
      <c r="C134" s="38">
        <v>2008</v>
      </c>
      <c r="D134" s="38">
        <v>2009</v>
      </c>
      <c r="E134" s="38">
        <v>2010</v>
      </c>
      <c r="F134" s="38">
        <v>2011</v>
      </c>
      <c r="G134" s="38">
        <v>2012</v>
      </c>
      <c r="H134" s="38">
        <v>2013</v>
      </c>
      <c r="I134" s="38">
        <v>2014</v>
      </c>
      <c r="J134" s="38">
        <v>2015</v>
      </c>
      <c r="K134" s="38">
        <v>2016</v>
      </c>
      <c r="L134" s="38">
        <v>2017</v>
      </c>
      <c r="M134" s="38">
        <v>2018</v>
      </c>
      <c r="N134" s="38">
        <v>2019</v>
      </c>
      <c r="O134" s="38">
        <v>2020</v>
      </c>
      <c r="P134" s="38">
        <v>2021</v>
      </c>
      <c r="Q134" s="38">
        <v>2022</v>
      </c>
      <c r="R134" s="38">
        <v>2023</v>
      </c>
      <c r="S134" s="38">
        <v>2024</v>
      </c>
      <c r="T134" s="39" t="s">
        <v>373</v>
      </c>
      <c r="U134" s="39" t="s">
        <v>374</v>
      </c>
      <c r="V134" s="39" t="s">
        <v>375</v>
      </c>
      <c r="W134" s="146"/>
      <c r="X134" s="147"/>
      <c r="Y134" s="147"/>
    </row>
    <row r="135" spans="1:25" x14ac:dyDescent="0.25">
      <c r="A135" s="81" t="s">
        <v>59</v>
      </c>
      <c r="B135" s="40">
        <v>0.71458872662358619</v>
      </c>
      <c r="C135" s="40">
        <v>0.72530870174215578</v>
      </c>
      <c r="D135" s="40">
        <v>0.7422180937289401</v>
      </c>
      <c r="E135" s="40">
        <v>0.75585342355260798</v>
      </c>
      <c r="F135" s="40">
        <v>0.72630535213764225</v>
      </c>
      <c r="G135" s="40">
        <v>0.73331488842713888</v>
      </c>
      <c r="H135" s="40">
        <v>0.73655551055308044</v>
      </c>
      <c r="I135" s="40">
        <v>0.7495106495437569</v>
      </c>
      <c r="J135" s="40">
        <v>0.75890282301518974</v>
      </c>
      <c r="K135" s="40">
        <v>0.76646209888860528</v>
      </c>
      <c r="L135" s="40">
        <v>0.78023603130717389</v>
      </c>
      <c r="M135" s="40">
        <v>0.78639294100086687</v>
      </c>
      <c r="N135" s="40">
        <v>0.78631126280634933</v>
      </c>
      <c r="O135" s="40">
        <v>0.82578151601861416</v>
      </c>
      <c r="P135" s="40">
        <v>0.80755510892497195</v>
      </c>
      <c r="Q135" s="40">
        <v>0.80417667316144814</v>
      </c>
      <c r="R135" s="40">
        <v>0.80886287378238952</v>
      </c>
      <c r="S135" s="40">
        <v>0.81767261088248744</v>
      </c>
      <c r="T135" s="90">
        <f t="shared" ref="T135:T169" si="27">(S135-J135)*100</f>
        <v>5.8769787867297696</v>
      </c>
      <c r="U135" s="90">
        <f t="shared" ref="U135:U169" si="28">(S135-O135)*100</f>
        <v>-0.81089051361267206</v>
      </c>
      <c r="V135" s="90">
        <f t="shared" ref="V135:V169" si="29">(S135-R135)*100</f>
        <v>0.88097371000979141</v>
      </c>
      <c r="W135" s="146"/>
      <c r="X135" s="147"/>
      <c r="Y135" s="147"/>
    </row>
    <row r="136" spans="1:25" x14ac:dyDescent="0.25">
      <c r="A136" s="30" t="s">
        <v>198</v>
      </c>
      <c r="B136" s="41">
        <v>0.74412416851441243</v>
      </c>
      <c r="C136" s="41">
        <v>0.74132492113564674</v>
      </c>
      <c r="D136" s="41">
        <v>0.78543111992071357</v>
      </c>
      <c r="E136" s="41">
        <v>0.73228346456692917</v>
      </c>
      <c r="F136" s="41">
        <v>0.70595585172844644</v>
      </c>
      <c r="G136" s="41">
        <v>0.76152019002375293</v>
      </c>
      <c r="H136" s="41">
        <v>0.74490303331675778</v>
      </c>
      <c r="I136" s="41">
        <v>0.73394004282655245</v>
      </c>
      <c r="J136" s="41">
        <v>0.75089331291475248</v>
      </c>
      <c r="K136" s="41">
        <v>0.81062030075187974</v>
      </c>
      <c r="L136" s="41">
        <v>0.7895467160037003</v>
      </c>
      <c r="M136" s="41">
        <v>0.7993934142114385</v>
      </c>
      <c r="N136" s="41">
        <v>0.79206212251941333</v>
      </c>
      <c r="O136" s="41">
        <v>0.84775086505190311</v>
      </c>
      <c r="P136" s="41">
        <v>0.81742919389978208</v>
      </c>
      <c r="Q136" s="41">
        <v>0.82711111111111113</v>
      </c>
      <c r="R136" s="41">
        <v>0.82310004293688277</v>
      </c>
      <c r="S136" s="41">
        <v>0.81332201951633432</v>
      </c>
      <c r="T136" s="89">
        <f t="shared" si="27"/>
        <v>6.242870660158184</v>
      </c>
      <c r="U136" s="89">
        <f t="shared" si="28"/>
        <v>-3.4428845535568797</v>
      </c>
      <c r="V136" s="89">
        <f t="shared" si="29"/>
        <v>-0.9778023420548454</v>
      </c>
      <c r="W136" s="146"/>
      <c r="X136" s="147"/>
      <c r="Y136" s="147"/>
    </row>
    <row r="137" spans="1:25" x14ac:dyDescent="0.25">
      <c r="A137" s="30" t="s">
        <v>199</v>
      </c>
      <c r="B137" s="41">
        <v>0.6470588235294118</v>
      </c>
      <c r="C137" s="41">
        <v>0.66895499618611742</v>
      </c>
      <c r="D137" s="41">
        <v>0.66219008264462809</v>
      </c>
      <c r="E137" s="41">
        <v>0.67923887189942234</v>
      </c>
      <c r="F137" s="41">
        <v>0.61270154656136888</v>
      </c>
      <c r="G137" s="41">
        <v>0.59317946951429557</v>
      </c>
      <c r="H137" s="41">
        <v>0.63356504468718966</v>
      </c>
      <c r="I137" s="41">
        <v>0.65505226480836232</v>
      </c>
      <c r="J137" s="41">
        <v>0.64443625644804714</v>
      </c>
      <c r="K137" s="41">
        <v>0.68090194738640242</v>
      </c>
      <c r="L137" s="41">
        <v>0.70198222829801782</v>
      </c>
      <c r="M137" s="41">
        <v>0.70455984800506655</v>
      </c>
      <c r="N137" s="41">
        <v>0.71885299934080427</v>
      </c>
      <c r="O137" s="41">
        <v>0.76917236142748668</v>
      </c>
      <c r="P137" s="41">
        <v>0.7394059405940594</v>
      </c>
      <c r="Q137" s="41">
        <v>0.76581576026637066</v>
      </c>
      <c r="R137" s="41">
        <v>0.78471031882070619</v>
      </c>
      <c r="S137" s="41">
        <v>0.77744411077744413</v>
      </c>
      <c r="T137" s="89">
        <f t="shared" si="27"/>
        <v>13.3007854329397</v>
      </c>
      <c r="U137" s="89">
        <f t="shared" si="28"/>
        <v>0.82717493499574468</v>
      </c>
      <c r="V137" s="89">
        <f t="shared" si="29"/>
        <v>-0.72662080432620568</v>
      </c>
      <c r="W137" s="146"/>
      <c r="X137" s="147"/>
      <c r="Y137" s="147"/>
    </row>
    <row r="138" spans="1:25" x14ac:dyDescent="0.25">
      <c r="A138" s="30" t="s">
        <v>200</v>
      </c>
      <c r="B138" s="41">
        <v>0.6915285451197053</v>
      </c>
      <c r="C138" s="41">
        <v>0.71100317578927708</v>
      </c>
      <c r="D138" s="41">
        <v>0.6717163022895507</v>
      </c>
      <c r="E138" s="41">
        <v>0.71049856906160569</v>
      </c>
      <c r="F138" s="41">
        <v>0.6727245191579585</v>
      </c>
      <c r="G138" s="41">
        <v>0.66893065866371826</v>
      </c>
      <c r="H138" s="41">
        <v>0.69518716577540107</v>
      </c>
      <c r="I138" s="41">
        <v>0.69829683698296841</v>
      </c>
      <c r="J138" s="41">
        <v>0.70287268400475944</v>
      </c>
      <c r="K138" s="41">
        <v>0.71001096663011121</v>
      </c>
      <c r="L138" s="41">
        <v>0.71421471172962225</v>
      </c>
      <c r="M138" s="41">
        <v>0.73243818568855412</v>
      </c>
      <c r="N138" s="41">
        <v>0.72808798646362094</v>
      </c>
      <c r="O138" s="41">
        <v>0.76251840942562588</v>
      </c>
      <c r="P138" s="41">
        <v>0.75150222911416942</v>
      </c>
      <c r="Q138" s="41">
        <v>0.76751652502360712</v>
      </c>
      <c r="R138" s="41">
        <v>0.77492877492877488</v>
      </c>
      <c r="S138" s="41">
        <v>0.78351206434316356</v>
      </c>
      <c r="T138" s="89">
        <f t="shared" si="27"/>
        <v>8.0639380338404116</v>
      </c>
      <c r="U138" s="89">
        <f t="shared" si="28"/>
        <v>2.0993654917537685</v>
      </c>
      <c r="V138" s="89">
        <f t="shared" si="29"/>
        <v>0.8583289414388684</v>
      </c>
      <c r="W138" s="146"/>
      <c r="X138" s="147"/>
      <c r="Y138" s="147"/>
    </row>
    <row r="139" spans="1:25" x14ac:dyDescent="0.25">
      <c r="A139" s="30" t="s">
        <v>201</v>
      </c>
      <c r="B139" s="41">
        <v>0.685490877497828</v>
      </c>
      <c r="C139" s="41">
        <v>0.64681724845995892</v>
      </c>
      <c r="D139" s="41">
        <v>0.64640561075394509</v>
      </c>
      <c r="E139" s="41">
        <v>0.70512065921130074</v>
      </c>
      <c r="F139" s="41">
        <v>0.67453347969264543</v>
      </c>
      <c r="G139" s="41">
        <v>0.53955696202531644</v>
      </c>
      <c r="H139" s="41">
        <v>0.71971616827166751</v>
      </c>
      <c r="I139" s="41">
        <v>0.6211283185840708</v>
      </c>
      <c r="J139" s="41">
        <v>0.68832891246684347</v>
      </c>
      <c r="K139" s="41">
        <v>0.73322147651006708</v>
      </c>
      <c r="L139" s="41">
        <v>0.72978959025470658</v>
      </c>
      <c r="M139" s="41">
        <v>0.75532527345998846</v>
      </c>
      <c r="N139" s="41">
        <v>0.71814006888633752</v>
      </c>
      <c r="O139" s="41">
        <v>0.81670362158167031</v>
      </c>
      <c r="P139" s="41">
        <v>0.78641456582633051</v>
      </c>
      <c r="Q139" s="41">
        <v>0.78774928774928776</v>
      </c>
      <c r="R139" s="41">
        <v>0.86219739292364994</v>
      </c>
      <c r="S139" s="41">
        <v>0.78969194312796209</v>
      </c>
      <c r="T139" s="89">
        <f t="shared" si="27"/>
        <v>10.136303066111862</v>
      </c>
      <c r="U139" s="89">
        <f t="shared" si="28"/>
        <v>-2.7011678453708221</v>
      </c>
      <c r="V139" s="89">
        <f t="shared" si="29"/>
        <v>-7.2505449795687849</v>
      </c>
      <c r="W139" s="146"/>
      <c r="X139" s="147"/>
      <c r="Y139" s="147"/>
    </row>
    <row r="140" spans="1:25" x14ac:dyDescent="0.25">
      <c r="A140" s="30" t="s">
        <v>202</v>
      </c>
      <c r="B140" s="41">
        <v>0.70382358891361518</v>
      </c>
      <c r="C140" s="41">
        <v>0.67207298530157122</v>
      </c>
      <c r="D140" s="41">
        <v>0.71885578876100198</v>
      </c>
      <c r="E140" s="41">
        <v>0.73628784554629223</v>
      </c>
      <c r="F140" s="41">
        <v>0.70475482912332843</v>
      </c>
      <c r="G140" s="41">
        <v>0.70516008703761268</v>
      </c>
      <c r="H140" s="41">
        <v>0.7317415730337079</v>
      </c>
      <c r="I140" s="41">
        <v>0.74511561211686683</v>
      </c>
      <c r="J140" s="41">
        <v>0.74748050960258605</v>
      </c>
      <c r="K140" s="41">
        <v>0.76790736145574856</v>
      </c>
      <c r="L140" s="41">
        <v>0.77260140087962204</v>
      </c>
      <c r="M140" s="41">
        <v>0.76659925851027977</v>
      </c>
      <c r="N140" s="41">
        <v>0.76475491830610198</v>
      </c>
      <c r="O140" s="41">
        <v>0.83461883408071746</v>
      </c>
      <c r="P140" s="41">
        <v>0.81412053258584438</v>
      </c>
      <c r="Q140" s="41">
        <v>0.81149688830658373</v>
      </c>
      <c r="R140" s="41">
        <v>0.82709867452135488</v>
      </c>
      <c r="S140" s="41">
        <v>0.83251022999858892</v>
      </c>
      <c r="T140" s="89">
        <f t="shared" si="27"/>
        <v>8.5029720396002872</v>
      </c>
      <c r="U140" s="89">
        <f t="shared" si="28"/>
        <v>-0.21086040821285401</v>
      </c>
      <c r="V140" s="89">
        <f t="shared" si="29"/>
        <v>0.54115554772340424</v>
      </c>
      <c r="W140" s="146"/>
      <c r="X140" s="147"/>
      <c r="Y140" s="147"/>
    </row>
    <row r="141" spans="1:25" x14ac:dyDescent="0.25">
      <c r="A141" s="30" t="s">
        <v>203</v>
      </c>
      <c r="B141" s="41">
        <v>0.74831913939937245</v>
      </c>
      <c r="C141" s="41">
        <v>0.74921857557490512</v>
      </c>
      <c r="D141" s="41">
        <v>0.75530330268632184</v>
      </c>
      <c r="E141" s="41">
        <v>0.75837707893833095</v>
      </c>
      <c r="F141" s="41">
        <v>0.72634863599829791</v>
      </c>
      <c r="G141" s="41">
        <v>0.74720861900097946</v>
      </c>
      <c r="H141" s="41">
        <v>0.73169288426451007</v>
      </c>
      <c r="I141" s="41">
        <v>0.76976581265012012</v>
      </c>
      <c r="J141" s="41">
        <v>0.77886178861788613</v>
      </c>
      <c r="K141" s="41">
        <v>0.76889310121215149</v>
      </c>
      <c r="L141" s="41">
        <v>0.78471579812930414</v>
      </c>
      <c r="M141" s="41">
        <v>0.78657820872671602</v>
      </c>
      <c r="N141" s="41">
        <v>0.78261534539892941</v>
      </c>
      <c r="O141" s="41">
        <v>0.83875360897750173</v>
      </c>
      <c r="P141" s="41">
        <v>0.80527450655166699</v>
      </c>
      <c r="Q141" s="41">
        <v>0.79510839355197327</v>
      </c>
      <c r="R141" s="41">
        <v>0.80420655786497341</v>
      </c>
      <c r="S141" s="41">
        <v>0.81142282650325548</v>
      </c>
      <c r="T141" s="89">
        <f t="shared" si="27"/>
        <v>3.2561037885369348</v>
      </c>
      <c r="U141" s="89">
        <f t="shared" si="28"/>
        <v>-2.7330782474246251</v>
      </c>
      <c r="V141" s="89">
        <f t="shared" si="29"/>
        <v>0.7216268638282064</v>
      </c>
      <c r="W141" s="146"/>
      <c r="X141" s="147"/>
      <c r="Y141" s="147"/>
    </row>
    <row r="142" spans="1:25" x14ac:dyDescent="0.25">
      <c r="A142" s="30" t="s">
        <v>204</v>
      </c>
      <c r="B142" s="41">
        <v>0.69089149820863516</v>
      </c>
      <c r="C142" s="41">
        <v>0.70089041630867766</v>
      </c>
      <c r="D142" s="41">
        <v>0.73801744288335391</v>
      </c>
      <c r="E142" s="41">
        <v>0.74581207361119073</v>
      </c>
      <c r="F142" s="41">
        <v>0.71450532932495214</v>
      </c>
      <c r="G142" s="41">
        <v>0.72465992326473661</v>
      </c>
      <c r="H142" s="41">
        <v>0.72537124438816625</v>
      </c>
      <c r="I142" s="41">
        <v>0.74091704585229257</v>
      </c>
      <c r="J142" s="41">
        <v>0.75134856806590822</v>
      </c>
      <c r="K142" s="41">
        <v>0.75761882965140093</v>
      </c>
      <c r="L142" s="41">
        <v>0.77726088121392212</v>
      </c>
      <c r="M142" s="41">
        <v>0.78536980363671005</v>
      </c>
      <c r="N142" s="41">
        <v>0.78221146159292843</v>
      </c>
      <c r="O142" s="41">
        <v>0.82391518198710245</v>
      </c>
      <c r="P142" s="41">
        <v>0.80383275261324039</v>
      </c>
      <c r="Q142" s="41">
        <v>0.7927716706111344</v>
      </c>
      <c r="R142" s="41">
        <v>0.79858670777597973</v>
      </c>
      <c r="S142" s="41">
        <v>0.80651563065109944</v>
      </c>
      <c r="T142" s="89">
        <f t="shared" si="27"/>
        <v>5.5167062585191218</v>
      </c>
      <c r="U142" s="89">
        <f t="shared" si="28"/>
        <v>-1.7399551336003016</v>
      </c>
      <c r="V142" s="89">
        <f t="shared" si="29"/>
        <v>0.79289228751197038</v>
      </c>
      <c r="W142" s="146"/>
      <c r="X142" s="147"/>
      <c r="Y142" s="147"/>
    </row>
    <row r="143" spans="1:25" x14ac:dyDescent="0.25">
      <c r="A143" s="30" t="s">
        <v>246</v>
      </c>
      <c r="B143" s="41">
        <v>0.62797446314567618</v>
      </c>
      <c r="C143" s="41">
        <v>0.69982342554443788</v>
      </c>
      <c r="D143" s="41">
        <v>0.66731517509727623</v>
      </c>
      <c r="E143" s="41">
        <v>0.72312703583061888</v>
      </c>
      <c r="F143" s="41">
        <v>0.71412964311726146</v>
      </c>
      <c r="G143" s="41">
        <v>0.60580204778156999</v>
      </c>
      <c r="H143" s="41">
        <v>0.72466777408637872</v>
      </c>
      <c r="I143" s="41">
        <v>0.70501002004008018</v>
      </c>
      <c r="J143" s="41">
        <v>0.71981566820276499</v>
      </c>
      <c r="K143" s="41">
        <v>0.71584460934089922</v>
      </c>
      <c r="L143" s="41">
        <v>0.74203004763649694</v>
      </c>
      <c r="M143" s="41">
        <v>0.76317523056653491</v>
      </c>
      <c r="N143" s="41">
        <v>0.79761521108604572</v>
      </c>
      <c r="O143" s="41">
        <v>0.77058644788817987</v>
      </c>
      <c r="P143" s="41">
        <v>0.7610993657505285</v>
      </c>
      <c r="Q143" s="41">
        <v>0.81329994435169728</v>
      </c>
      <c r="R143" s="41">
        <v>0.81128584643848289</v>
      </c>
      <c r="S143" s="41">
        <v>0.84025423728813564</v>
      </c>
      <c r="T143" s="89">
        <f t="shared" si="27"/>
        <v>12.043856908537066</v>
      </c>
      <c r="U143" s="89">
        <f t="shared" si="28"/>
        <v>6.9667789399955771</v>
      </c>
      <c r="V143" s="89">
        <f t="shared" si="29"/>
        <v>2.8968390849652748</v>
      </c>
      <c r="W143" s="146"/>
      <c r="X143" s="147"/>
      <c r="Y143" s="147"/>
    </row>
    <row r="144" spans="1:25" x14ac:dyDescent="0.25">
      <c r="A144" s="30" t="s">
        <v>205</v>
      </c>
      <c r="B144" s="41">
        <v>0.79968371112282555</v>
      </c>
      <c r="C144" s="41">
        <v>0.81064397731064397</v>
      </c>
      <c r="D144" s="41">
        <v>0.78155056834742054</v>
      </c>
      <c r="E144" s="41">
        <v>0.80966072455434157</v>
      </c>
      <c r="F144" s="41">
        <v>0.79934702761529042</v>
      </c>
      <c r="G144" s="41">
        <v>0.74983789391777977</v>
      </c>
      <c r="H144" s="41">
        <v>0.79485834207764949</v>
      </c>
      <c r="I144" s="41">
        <v>0.80128781072177302</v>
      </c>
      <c r="J144" s="41">
        <v>0.8111063156380377</v>
      </c>
      <c r="K144" s="41">
        <v>0.82646187011587169</v>
      </c>
      <c r="L144" s="41">
        <v>0.82122830440587447</v>
      </c>
      <c r="M144" s="41">
        <v>0.82837263239273284</v>
      </c>
      <c r="N144" s="41">
        <v>0.83335481376466036</v>
      </c>
      <c r="O144" s="41">
        <v>0.84520123839009287</v>
      </c>
      <c r="P144" s="41">
        <v>0.84055504647205137</v>
      </c>
      <c r="Q144" s="41">
        <v>0.85234166464450378</v>
      </c>
      <c r="R144" s="41">
        <v>0.84515696570215615</v>
      </c>
      <c r="S144" s="41">
        <v>0.86201076062875825</v>
      </c>
      <c r="T144" s="89">
        <f t="shared" si="27"/>
        <v>5.0904444990720554</v>
      </c>
      <c r="U144" s="89">
        <f t="shared" si="28"/>
        <v>1.6809522238665386</v>
      </c>
      <c r="V144" s="89">
        <f t="shared" si="29"/>
        <v>1.6853794926602106</v>
      </c>
      <c r="W144" s="146"/>
      <c r="X144" s="147"/>
      <c r="Y144" s="147"/>
    </row>
    <row r="145" spans="1:25" x14ac:dyDescent="0.25">
      <c r="A145" s="30" t="s">
        <v>219</v>
      </c>
      <c r="B145" s="41">
        <v>0.75076297049847407</v>
      </c>
      <c r="C145" s="41">
        <v>0.79883495145631067</v>
      </c>
      <c r="D145" s="41">
        <v>0.72111942726976896</v>
      </c>
      <c r="E145" s="41">
        <v>0.79655079493398007</v>
      </c>
      <c r="F145" s="41">
        <v>0.77538543328017018</v>
      </c>
      <c r="G145" s="41">
        <v>0.76919046371495936</v>
      </c>
      <c r="H145" s="41">
        <v>0.7678712740701662</v>
      </c>
      <c r="I145" s="41">
        <v>0.75944620709547161</v>
      </c>
      <c r="J145" s="41">
        <v>0.77825229960578191</v>
      </c>
      <c r="K145" s="41">
        <v>0.79580505860579887</v>
      </c>
      <c r="L145" s="41">
        <v>0.7984966753396936</v>
      </c>
      <c r="M145" s="41">
        <v>0.75656689065363469</v>
      </c>
      <c r="N145" s="41">
        <v>0.78088861838101031</v>
      </c>
      <c r="O145" s="41">
        <v>0.81196581196581197</v>
      </c>
      <c r="P145" s="41">
        <v>0.81398252184769038</v>
      </c>
      <c r="Q145" s="41">
        <v>0.80253791395852681</v>
      </c>
      <c r="R145" s="41">
        <v>0.82094040459267359</v>
      </c>
      <c r="S145" s="41">
        <v>0.82817337461300311</v>
      </c>
      <c r="T145" s="89">
        <f t="shared" si="27"/>
        <v>4.9921075007221205</v>
      </c>
      <c r="U145" s="89">
        <f t="shared" si="28"/>
        <v>1.6207562647191143</v>
      </c>
      <c r="V145" s="89">
        <f t="shared" si="29"/>
        <v>0.72329700203295211</v>
      </c>
      <c r="W145" s="146"/>
      <c r="X145" s="147"/>
      <c r="Y145" s="147"/>
    </row>
    <row r="146" spans="1:25" x14ac:dyDescent="0.25">
      <c r="A146" s="30" t="s">
        <v>206</v>
      </c>
      <c r="B146" s="41">
        <v>0.75857238565077045</v>
      </c>
      <c r="C146" s="41">
        <v>0.77051379250014584</v>
      </c>
      <c r="D146" s="41">
        <v>0.77322970639032818</v>
      </c>
      <c r="E146" s="41">
        <v>0.79552412118653015</v>
      </c>
      <c r="F146" s="41">
        <v>0.76844596371285823</v>
      </c>
      <c r="G146" s="41">
        <v>0.78878652276914973</v>
      </c>
      <c r="H146" s="41">
        <v>0.77109287957054595</v>
      </c>
      <c r="I146" s="41">
        <v>0.77251883393383558</v>
      </c>
      <c r="J146" s="41">
        <v>0.77810072103292161</v>
      </c>
      <c r="K146" s="41">
        <v>0.79438476021707827</v>
      </c>
      <c r="L146" s="41">
        <v>0.80067567567567566</v>
      </c>
      <c r="M146" s="41">
        <v>0.80131527615225995</v>
      </c>
      <c r="N146" s="41">
        <v>0.81195169192206906</v>
      </c>
      <c r="O146" s="41">
        <v>0.84507548526240117</v>
      </c>
      <c r="P146" s="41">
        <v>0.83665784054133574</v>
      </c>
      <c r="Q146" s="41">
        <v>0.82973549994069506</v>
      </c>
      <c r="R146" s="41">
        <v>0.83556946929039955</v>
      </c>
      <c r="S146" s="41">
        <v>0.84451339637509848</v>
      </c>
      <c r="T146" s="89">
        <f t="shared" si="27"/>
        <v>6.6412675342176879</v>
      </c>
      <c r="U146" s="89">
        <f t="shared" si="28"/>
        <v>-5.6208888730269191E-2</v>
      </c>
      <c r="V146" s="89">
        <f t="shared" si="29"/>
        <v>0.89439270846989327</v>
      </c>
      <c r="W146" s="146"/>
      <c r="X146" s="147"/>
      <c r="Y146" s="147"/>
    </row>
    <row r="147" spans="1:25" x14ac:dyDescent="0.25">
      <c r="A147" s="30" t="s">
        <v>207</v>
      </c>
      <c r="B147" s="41">
        <v>0.79792746113989632</v>
      </c>
      <c r="C147" s="41">
        <v>0.80822536908707443</v>
      </c>
      <c r="D147" s="41">
        <v>0.79702024703934804</v>
      </c>
      <c r="E147" s="41">
        <v>0.80417135006868989</v>
      </c>
      <c r="F147" s="41">
        <v>0.776414019992408</v>
      </c>
      <c r="G147" s="41">
        <v>0.78123876841979156</v>
      </c>
      <c r="H147" s="41">
        <v>0.78384089496581733</v>
      </c>
      <c r="I147" s="41">
        <v>0.79324729500716984</v>
      </c>
      <c r="J147" s="41">
        <v>0.79177537582308366</v>
      </c>
      <c r="K147" s="41">
        <v>0.79835487661574622</v>
      </c>
      <c r="L147" s="41">
        <v>0.80967627178939883</v>
      </c>
      <c r="M147" s="41">
        <v>0.81988742964352723</v>
      </c>
      <c r="N147" s="41">
        <v>0.80593385214007784</v>
      </c>
      <c r="O147" s="41">
        <v>0.84430096846287561</v>
      </c>
      <c r="P147" s="41">
        <v>0.82856389291837007</v>
      </c>
      <c r="Q147" s="41">
        <v>0.83719165085388991</v>
      </c>
      <c r="R147" s="41">
        <v>0.8327682379962813</v>
      </c>
      <c r="S147" s="41">
        <v>0.84484210526315795</v>
      </c>
      <c r="T147" s="89">
        <f t="shared" si="27"/>
        <v>5.3066729440074294</v>
      </c>
      <c r="U147" s="89">
        <f t="shared" si="28"/>
        <v>5.4113680028233802E-2</v>
      </c>
      <c r="V147" s="89">
        <f t="shared" si="29"/>
        <v>1.2073867266876648</v>
      </c>
      <c r="W147" s="146"/>
      <c r="X147" s="147"/>
      <c r="Y147" s="147"/>
    </row>
    <row r="148" spans="1:25" x14ac:dyDescent="0.25">
      <c r="A148" s="30" t="s">
        <v>208</v>
      </c>
      <c r="B148" s="41">
        <v>0.76268300987402116</v>
      </c>
      <c r="C148" s="41">
        <v>0.79084551811824544</v>
      </c>
      <c r="D148" s="41">
        <v>0.77794426131255623</v>
      </c>
      <c r="E148" s="41">
        <v>0.7925809822361547</v>
      </c>
      <c r="F148" s="41">
        <v>0.78079956486265978</v>
      </c>
      <c r="G148" s="41">
        <v>0.79574468085106387</v>
      </c>
      <c r="H148" s="41">
        <v>0.77280904651760474</v>
      </c>
      <c r="I148" s="41">
        <v>0.78492124967725274</v>
      </c>
      <c r="J148" s="41">
        <v>0.77988520089842772</v>
      </c>
      <c r="K148" s="41">
        <v>0.78898426323319026</v>
      </c>
      <c r="L148" s="41">
        <v>0.81308874566187406</v>
      </c>
      <c r="M148" s="41">
        <v>0.8052781740370899</v>
      </c>
      <c r="N148" s="41">
        <v>0.83079803416803177</v>
      </c>
      <c r="O148" s="41">
        <v>0.82749937043565858</v>
      </c>
      <c r="P148" s="41">
        <v>0.83255124722153617</v>
      </c>
      <c r="Q148" s="41">
        <v>0.83186057928325974</v>
      </c>
      <c r="R148" s="41">
        <v>0.80516431924882625</v>
      </c>
      <c r="S148" s="41">
        <v>0.83114446529080677</v>
      </c>
      <c r="T148" s="89">
        <f t="shared" si="27"/>
        <v>5.1259264392379045</v>
      </c>
      <c r="U148" s="89">
        <f t="shared" si="28"/>
        <v>0.36450948551481899</v>
      </c>
      <c r="V148" s="89">
        <f t="shared" si="29"/>
        <v>2.5980146041980512</v>
      </c>
      <c r="W148" s="146"/>
      <c r="X148" s="147"/>
      <c r="Y148" s="147"/>
    </row>
    <row r="149" spans="1:25" x14ac:dyDescent="0.25">
      <c r="A149" s="30" t="s">
        <v>209</v>
      </c>
      <c r="B149" s="41">
        <v>0.67221451687471101</v>
      </c>
      <c r="C149" s="41">
        <v>0.71112169564181948</v>
      </c>
      <c r="D149" s="41">
        <v>0.71638346968743449</v>
      </c>
      <c r="E149" s="41">
        <v>0.75</v>
      </c>
      <c r="F149" s="41">
        <v>0.73849830711013742</v>
      </c>
      <c r="G149" s="41">
        <v>0.77331189710610937</v>
      </c>
      <c r="H149" s="41">
        <v>0.73637961335676627</v>
      </c>
      <c r="I149" s="41">
        <v>0.76272667686257378</v>
      </c>
      <c r="J149" s="41">
        <v>0.76780310671777285</v>
      </c>
      <c r="K149" s="41">
        <v>0.76584609420430316</v>
      </c>
      <c r="L149" s="41">
        <v>0.75714285714285712</v>
      </c>
      <c r="M149" s="41">
        <v>0.79264844486333652</v>
      </c>
      <c r="N149" s="41">
        <v>0.79965589753393229</v>
      </c>
      <c r="O149" s="41">
        <v>0.81670625494853522</v>
      </c>
      <c r="P149" s="41">
        <v>0.80622977346278313</v>
      </c>
      <c r="Q149" s="41">
        <v>0.8400963498239763</v>
      </c>
      <c r="R149" s="41">
        <v>0.82016600061481704</v>
      </c>
      <c r="S149" s="41">
        <v>0.83889512058328664</v>
      </c>
      <c r="T149" s="89">
        <f t="shared" si="27"/>
        <v>7.1092013865513781</v>
      </c>
      <c r="U149" s="89">
        <f t="shared" si="28"/>
        <v>2.218886563475142</v>
      </c>
      <c r="V149" s="89">
        <f t="shared" si="29"/>
        <v>1.8729119968469599</v>
      </c>
      <c r="W149" s="146"/>
      <c r="X149" s="147"/>
      <c r="Y149" s="147"/>
    </row>
    <row r="150" spans="1:25" x14ac:dyDescent="0.25">
      <c r="A150" s="30" t="s">
        <v>210</v>
      </c>
      <c r="B150" s="41">
        <v>0.5</v>
      </c>
      <c r="C150" s="41">
        <v>0.5393258426966292</v>
      </c>
      <c r="D150" s="41">
        <v>0.58503401360544216</v>
      </c>
      <c r="E150" s="41">
        <v>0.6634146341463415</v>
      </c>
      <c r="F150" s="41">
        <v>0.52199413489736068</v>
      </c>
      <c r="G150" s="41">
        <v>0.60555555555555551</v>
      </c>
      <c r="H150" s="41">
        <v>0.53716216216216217</v>
      </c>
      <c r="I150" s="41">
        <v>0.6473214285714286</v>
      </c>
      <c r="J150" s="41">
        <v>0.68292682926829273</v>
      </c>
      <c r="K150" s="41">
        <v>0.72857142857142854</v>
      </c>
      <c r="L150" s="41">
        <v>0.77130044843049328</v>
      </c>
      <c r="M150" s="41">
        <v>0.72727272727272729</v>
      </c>
      <c r="N150" s="41">
        <v>0.7533333333333333</v>
      </c>
      <c r="O150" s="41">
        <v>0.83571428571428574</v>
      </c>
      <c r="P150" s="41">
        <v>0.7042801556420234</v>
      </c>
      <c r="Q150" s="41">
        <v>0.72803347280334729</v>
      </c>
      <c r="R150" s="41">
        <v>0.72318339100346019</v>
      </c>
      <c r="S150" s="41">
        <v>0.77391304347826084</v>
      </c>
      <c r="T150" s="89">
        <f t="shared" si="27"/>
        <v>9.0986214209968104</v>
      </c>
      <c r="U150" s="89">
        <f t="shared" si="28"/>
        <v>-6.1801242236024905</v>
      </c>
      <c r="V150" s="89">
        <f t="shared" si="29"/>
        <v>5.0729652474800657</v>
      </c>
      <c r="W150" s="146"/>
      <c r="X150" s="147"/>
      <c r="Y150" s="147"/>
    </row>
    <row r="151" spans="1:25" x14ac:dyDescent="0.25">
      <c r="A151" s="30" t="s">
        <v>211</v>
      </c>
      <c r="B151" s="41">
        <v>0.62450278440731899</v>
      </c>
      <c r="C151" s="41">
        <v>0.68351063829787229</v>
      </c>
      <c r="D151" s="41">
        <v>0.746218487394958</v>
      </c>
      <c r="E151" s="41">
        <v>0.71875</v>
      </c>
      <c r="F151" s="41">
        <v>0.6785714285714286</v>
      </c>
      <c r="G151" s="41">
        <v>0.65828571428571425</v>
      </c>
      <c r="H151" s="41">
        <v>0.73122529644268774</v>
      </c>
      <c r="I151" s="41">
        <v>0.75340909090909092</v>
      </c>
      <c r="J151" s="41">
        <v>0.75604395604395602</v>
      </c>
      <c r="K151" s="41">
        <v>0.73467432950191569</v>
      </c>
      <c r="L151" s="41">
        <v>0.79292035398230087</v>
      </c>
      <c r="M151" s="41">
        <v>0.78977272727272729</v>
      </c>
      <c r="N151" s="41">
        <v>0.75901328273244784</v>
      </c>
      <c r="O151" s="41">
        <v>0.7857142857142857</v>
      </c>
      <c r="P151" s="41">
        <v>0.7531285551763367</v>
      </c>
      <c r="Q151" s="41">
        <v>0.82100238663484482</v>
      </c>
      <c r="R151" s="41">
        <v>0.8370786516853933</v>
      </c>
      <c r="S151" s="41">
        <v>0.84854014598540151</v>
      </c>
      <c r="T151" s="89">
        <f t="shared" si="27"/>
        <v>9.2496189941445479</v>
      </c>
      <c r="U151" s="89">
        <f t="shared" si="28"/>
        <v>6.2825860271115808</v>
      </c>
      <c r="V151" s="89">
        <f t="shared" si="29"/>
        <v>1.1461494300008201</v>
      </c>
      <c r="W151" s="146"/>
      <c r="X151" s="147"/>
      <c r="Y151" s="147"/>
    </row>
    <row r="152" spans="1:25" x14ac:dyDescent="0.25">
      <c r="A152" s="81" t="s">
        <v>58</v>
      </c>
      <c r="B152" s="40">
        <v>0.56359267896261744</v>
      </c>
      <c r="C152" s="40">
        <v>0.62715286562226336</v>
      </c>
      <c r="D152" s="40">
        <v>0.65399896355156328</v>
      </c>
      <c r="E152" s="40">
        <v>0.6437828788020431</v>
      </c>
      <c r="F152" s="40">
        <v>0.62677259919626771</v>
      </c>
      <c r="G152" s="40">
        <v>0.63399169525185051</v>
      </c>
      <c r="H152" s="40">
        <v>0.64531443193313986</v>
      </c>
      <c r="I152" s="40">
        <v>0.65034767115004855</v>
      </c>
      <c r="J152" s="40">
        <v>0.66092565029413852</v>
      </c>
      <c r="K152" s="40">
        <v>0.67431765515122777</v>
      </c>
      <c r="L152" s="40">
        <v>0.69195924558620836</v>
      </c>
      <c r="M152" s="40">
        <v>0.70279921425564751</v>
      </c>
      <c r="N152" s="61">
        <v>0.67145687737394399</v>
      </c>
      <c r="O152" s="61">
        <v>0.66058042970234576</v>
      </c>
      <c r="P152" s="61">
        <v>0.68610644081645478</v>
      </c>
      <c r="Q152" s="61">
        <v>0.69892332739448304</v>
      </c>
      <c r="R152" s="61">
        <v>0.69739338104703097</v>
      </c>
      <c r="S152" s="61">
        <v>0.70137921533209857</v>
      </c>
      <c r="T152" s="90">
        <f t="shared" si="27"/>
        <v>4.0453565037960049</v>
      </c>
      <c r="U152" s="90">
        <f t="shared" si="28"/>
        <v>4.0798785629752814</v>
      </c>
      <c r="V152" s="90">
        <f t="shared" si="29"/>
        <v>0.39858342850676021</v>
      </c>
      <c r="W152" s="146"/>
      <c r="X152" s="147"/>
      <c r="Y152" s="147"/>
    </row>
    <row r="153" spans="1:25" x14ac:dyDescent="0.25">
      <c r="A153" s="30" t="s">
        <v>198</v>
      </c>
      <c r="B153" s="41">
        <v>0.6172344689378757</v>
      </c>
      <c r="C153" s="41">
        <v>0.60856864654333009</v>
      </c>
      <c r="D153" s="41">
        <v>0.68368032236400267</v>
      </c>
      <c r="E153" s="41">
        <v>0.62557077625570778</v>
      </c>
      <c r="F153" s="41">
        <v>0.62337662337662336</v>
      </c>
      <c r="G153" s="41">
        <v>0.64976303317535544</v>
      </c>
      <c r="H153" s="41">
        <v>0.60023913909924276</v>
      </c>
      <c r="I153" s="41">
        <v>0.6323411102172164</v>
      </c>
      <c r="J153" s="41">
        <v>0.65691056910569101</v>
      </c>
      <c r="K153" s="41">
        <v>0.70074714903657098</v>
      </c>
      <c r="L153" s="41">
        <v>0.72799365582870734</v>
      </c>
      <c r="M153" s="41">
        <v>0.69204018547140644</v>
      </c>
      <c r="N153" s="41">
        <v>0.69881556683587143</v>
      </c>
      <c r="O153" s="41">
        <v>0.27818853974121999</v>
      </c>
      <c r="P153" s="41">
        <v>0.69151809832522959</v>
      </c>
      <c r="Q153" s="41">
        <v>0.72620320855614973</v>
      </c>
      <c r="R153" s="41">
        <v>0.70123456790123462</v>
      </c>
      <c r="S153" s="41">
        <v>0.70296627387240962</v>
      </c>
      <c r="T153" s="89">
        <f t="shared" si="27"/>
        <v>4.6055704766718613</v>
      </c>
      <c r="U153" s="89">
        <f t="shared" si="28"/>
        <v>42.47777341311896</v>
      </c>
      <c r="V153" s="89">
        <f t="shared" si="29"/>
        <v>0.17317059711750016</v>
      </c>
      <c r="W153" s="146"/>
      <c r="X153" s="147"/>
      <c r="Y153" s="147"/>
    </row>
    <row r="154" spans="1:25" x14ac:dyDescent="0.25">
      <c r="A154" s="30" t="s">
        <v>199</v>
      </c>
      <c r="B154" s="41">
        <v>0.47215189873417723</v>
      </c>
      <c r="C154" s="41">
        <v>0.55586592178770955</v>
      </c>
      <c r="D154" s="41">
        <v>0.59399477806788514</v>
      </c>
      <c r="E154" s="41">
        <v>0.54384133611691021</v>
      </c>
      <c r="F154" s="41">
        <v>0.51466803911477099</v>
      </c>
      <c r="G154" s="41">
        <v>0.57465194431108979</v>
      </c>
      <c r="H154" s="41">
        <v>0.53256552819698177</v>
      </c>
      <c r="I154" s="41">
        <v>0.58333333333333337</v>
      </c>
      <c r="J154" s="41">
        <v>0.55122950819672134</v>
      </c>
      <c r="K154" s="41">
        <v>0.61085766423357668</v>
      </c>
      <c r="L154" s="41">
        <v>0.65458823529411769</v>
      </c>
      <c r="M154" s="41">
        <v>0.6730128510233222</v>
      </c>
      <c r="N154" s="41">
        <v>0.6526732673267327</v>
      </c>
      <c r="O154" s="41">
        <v>0.64029332304129682</v>
      </c>
      <c r="P154" s="41">
        <v>0.63086974275214369</v>
      </c>
      <c r="Q154" s="41">
        <v>0.67766823831975997</v>
      </c>
      <c r="R154" s="41">
        <v>0.67960799095363744</v>
      </c>
      <c r="S154" s="41">
        <v>0.68668596237337187</v>
      </c>
      <c r="T154" s="89">
        <f t="shared" si="27"/>
        <v>13.545645417665053</v>
      </c>
      <c r="U154" s="89">
        <f t="shared" si="28"/>
        <v>4.6392639332075047</v>
      </c>
      <c r="V154" s="89">
        <f t="shared" si="29"/>
        <v>0.70779714197344301</v>
      </c>
      <c r="W154" s="146"/>
      <c r="X154" s="147"/>
      <c r="Y154" s="147"/>
    </row>
    <row r="155" spans="1:25" x14ac:dyDescent="0.25">
      <c r="A155" s="30" t="s">
        <v>200</v>
      </c>
      <c r="B155" s="41">
        <v>0.49569336778639106</v>
      </c>
      <c r="C155" s="41">
        <v>0.5518796992481203</v>
      </c>
      <c r="D155" s="41">
        <v>0.56300508829691709</v>
      </c>
      <c r="E155" s="41">
        <v>0.45770599507254311</v>
      </c>
      <c r="F155" s="41">
        <v>0.56802721088435371</v>
      </c>
      <c r="G155" s="41">
        <v>0.55021476784618528</v>
      </c>
      <c r="H155" s="41">
        <v>0.55370101596516685</v>
      </c>
      <c r="I155" s="41">
        <v>0.57799801783944504</v>
      </c>
      <c r="J155" s="41">
        <v>0.59961604095563137</v>
      </c>
      <c r="K155" s="41">
        <v>0.62508398656215003</v>
      </c>
      <c r="L155" s="41">
        <v>0.66141562365127315</v>
      </c>
      <c r="M155" s="41">
        <v>0.68197520829099778</v>
      </c>
      <c r="N155" s="41">
        <v>0.66526104417670684</v>
      </c>
      <c r="O155" s="41">
        <v>0.66107660455486539</v>
      </c>
      <c r="P155" s="41">
        <v>0.66822429906542058</v>
      </c>
      <c r="Q155" s="41">
        <v>0.67708333333333337</v>
      </c>
      <c r="R155" s="41">
        <v>0.66397124887690928</v>
      </c>
      <c r="S155" s="41">
        <v>0.68461869883670834</v>
      </c>
      <c r="T155" s="89">
        <f t="shared" si="27"/>
        <v>8.5002657881076971</v>
      </c>
      <c r="U155" s="89">
        <f t="shared" si="28"/>
        <v>2.3542094281842951</v>
      </c>
      <c r="V155" s="89">
        <f t="shared" si="29"/>
        <v>2.0647449959799058</v>
      </c>
      <c r="W155" s="146"/>
      <c r="X155" s="147"/>
      <c r="Y155" s="147"/>
    </row>
    <row r="156" spans="1:25" x14ac:dyDescent="0.25">
      <c r="A156" s="30" t="s">
        <v>201</v>
      </c>
      <c r="B156" s="41">
        <v>0.53318335208098988</v>
      </c>
      <c r="C156" s="41">
        <v>0.48908296943231439</v>
      </c>
      <c r="D156" s="41">
        <v>0.59482102056359487</v>
      </c>
      <c r="E156" s="41">
        <v>0.57978421351504827</v>
      </c>
      <c r="F156" s="41">
        <v>0.53362360909530726</v>
      </c>
      <c r="G156" s="41">
        <v>0.54595959595959598</v>
      </c>
      <c r="H156" s="41">
        <v>0.5654169854628921</v>
      </c>
      <c r="I156" s="41">
        <v>0.51214223764093669</v>
      </c>
      <c r="J156" s="41">
        <v>0.606700321248279</v>
      </c>
      <c r="K156" s="41">
        <v>0.6622327790973872</v>
      </c>
      <c r="L156" s="41">
        <v>0.65096719932716574</v>
      </c>
      <c r="M156" s="41">
        <v>0.64803049555273184</v>
      </c>
      <c r="N156" s="41">
        <v>0.62208333333333332</v>
      </c>
      <c r="O156" s="41">
        <v>0.65791896869244937</v>
      </c>
      <c r="P156" s="41">
        <v>0.68195853550948393</v>
      </c>
      <c r="Q156" s="41">
        <v>0.69298701298701304</v>
      </c>
      <c r="R156" s="41">
        <v>0.70140571982549682</v>
      </c>
      <c r="S156" s="41">
        <v>0.69990079365079361</v>
      </c>
      <c r="T156" s="89">
        <f t="shared" si="27"/>
        <v>9.320047240251462</v>
      </c>
      <c r="U156" s="89">
        <f t="shared" si="28"/>
        <v>4.1981824958344234</v>
      </c>
      <c r="V156" s="89">
        <f t="shared" si="29"/>
        <v>-0.15049261747032139</v>
      </c>
      <c r="W156" s="146"/>
      <c r="X156" s="147"/>
      <c r="Y156" s="147"/>
    </row>
    <row r="157" spans="1:25" x14ac:dyDescent="0.25">
      <c r="A157" s="30" t="s">
        <v>202</v>
      </c>
      <c r="B157" s="41">
        <v>0.59591663122075711</v>
      </c>
      <c r="C157" s="41">
        <v>0.62828344532681735</v>
      </c>
      <c r="D157" s="41">
        <v>0.68157248157248163</v>
      </c>
      <c r="E157" s="41">
        <v>0.65829477858559149</v>
      </c>
      <c r="F157" s="41">
        <v>0.63551955748715927</v>
      </c>
      <c r="G157" s="41">
        <v>0.61934959349593499</v>
      </c>
      <c r="H157" s="41">
        <v>0.62402088772845954</v>
      </c>
      <c r="I157" s="41">
        <v>0.65632309371588959</v>
      </c>
      <c r="J157" s="41">
        <v>0.64959921478815641</v>
      </c>
      <c r="K157" s="41">
        <v>0.67099906044472279</v>
      </c>
      <c r="L157" s="41">
        <v>0.70048939641109298</v>
      </c>
      <c r="M157" s="41">
        <v>0.70289855072463769</v>
      </c>
      <c r="N157" s="41">
        <v>0.70173020976879497</v>
      </c>
      <c r="O157" s="41">
        <v>0.68275011561584709</v>
      </c>
      <c r="P157" s="41">
        <v>0.7065858962410686</v>
      </c>
      <c r="Q157" s="41">
        <v>0.7328995397555943</v>
      </c>
      <c r="R157" s="41">
        <v>0.74124761298535968</v>
      </c>
      <c r="S157" s="41">
        <v>0.71215613954203161</v>
      </c>
      <c r="T157" s="89">
        <f t="shared" si="27"/>
        <v>6.2556924753875194</v>
      </c>
      <c r="U157" s="89">
        <f t="shared" si="28"/>
        <v>2.9406023926184521</v>
      </c>
      <c r="V157" s="89">
        <f t="shared" si="29"/>
        <v>-2.9091473443328075</v>
      </c>
      <c r="W157" s="146"/>
      <c r="X157" s="147"/>
      <c r="Y157" s="147"/>
    </row>
    <row r="158" spans="1:25" x14ac:dyDescent="0.25">
      <c r="A158" s="30" t="s">
        <v>203</v>
      </c>
      <c r="B158" s="41">
        <v>0.59784702549575075</v>
      </c>
      <c r="C158" s="41">
        <v>0.64340849075766804</v>
      </c>
      <c r="D158" s="41">
        <v>0.68185604798400534</v>
      </c>
      <c r="E158" s="41">
        <v>0.67254709024458814</v>
      </c>
      <c r="F158" s="41">
        <v>0.59175513580587347</v>
      </c>
      <c r="G158" s="41">
        <v>0.66304277065295225</v>
      </c>
      <c r="H158" s="41">
        <v>0.66567994790124918</v>
      </c>
      <c r="I158" s="41">
        <v>0.67628541448058765</v>
      </c>
      <c r="J158" s="41">
        <v>0.68777160791887981</v>
      </c>
      <c r="K158" s="41">
        <v>0.68378500743807002</v>
      </c>
      <c r="L158" s="41">
        <v>0.70765309636977336</v>
      </c>
      <c r="M158" s="41">
        <v>0.73493813878429259</v>
      </c>
      <c r="N158" s="41">
        <v>0.70495243424734189</v>
      </c>
      <c r="O158" s="41">
        <v>0.71408775981524253</v>
      </c>
      <c r="P158" s="41">
        <v>0.7162454873646209</v>
      </c>
      <c r="Q158" s="41">
        <v>0.73059036809332389</v>
      </c>
      <c r="R158" s="41">
        <v>0.73987123115577891</v>
      </c>
      <c r="S158" s="41">
        <v>0.73660287081339715</v>
      </c>
      <c r="T158" s="89">
        <f t="shared" si="27"/>
        <v>4.8831262894517335</v>
      </c>
      <c r="U158" s="89">
        <f t="shared" si="28"/>
        <v>2.2515110998154619</v>
      </c>
      <c r="V158" s="89">
        <f t="shared" si="29"/>
        <v>-0.32683603423817598</v>
      </c>
      <c r="W158" s="146"/>
      <c r="X158" s="147"/>
      <c r="Y158" s="147"/>
    </row>
    <row r="159" spans="1:25" x14ac:dyDescent="0.25">
      <c r="A159" s="30" t="s">
        <v>204</v>
      </c>
      <c r="B159" s="41">
        <v>0.53643074250976985</v>
      </c>
      <c r="C159" s="41">
        <v>0.59264521064422704</v>
      </c>
      <c r="D159" s="41">
        <v>0.63538855281526296</v>
      </c>
      <c r="E159" s="41">
        <v>0.61424813176757664</v>
      </c>
      <c r="F159" s="41">
        <v>0.60049212262055296</v>
      </c>
      <c r="G159" s="41">
        <v>0.59911337356302463</v>
      </c>
      <c r="H159" s="41">
        <v>0.62660695551414747</v>
      </c>
      <c r="I159" s="41">
        <v>0.62288930581613511</v>
      </c>
      <c r="J159" s="41">
        <v>0.64177345920549256</v>
      </c>
      <c r="K159" s="41">
        <v>0.65446109378565454</v>
      </c>
      <c r="L159" s="41">
        <v>0.67428349489424366</v>
      </c>
      <c r="M159" s="41">
        <v>0.68338094437909591</v>
      </c>
      <c r="N159" s="41">
        <v>0.64479821013682126</v>
      </c>
      <c r="O159" s="41">
        <v>0.66317437128247936</v>
      </c>
      <c r="P159" s="41">
        <v>0.67702784337415567</v>
      </c>
      <c r="Q159" s="41">
        <v>0.67393675027262812</v>
      </c>
      <c r="R159" s="41">
        <v>0.66825705263888402</v>
      </c>
      <c r="S159" s="41">
        <v>0.67423999999999995</v>
      </c>
      <c r="T159" s="89">
        <f t="shared" si="27"/>
        <v>3.2466540794507392</v>
      </c>
      <c r="U159" s="89">
        <f t="shared" si="28"/>
        <v>1.1065628717520593</v>
      </c>
      <c r="V159" s="89">
        <f t="shared" si="29"/>
        <v>0.59829473611159312</v>
      </c>
      <c r="W159" s="146"/>
      <c r="X159" s="147"/>
      <c r="Y159" s="147"/>
    </row>
    <row r="160" spans="1:25" x14ac:dyDescent="0.25">
      <c r="A160" s="30" t="s">
        <v>246</v>
      </c>
      <c r="B160" s="41">
        <v>0.62903869166334259</v>
      </c>
      <c r="C160" s="41">
        <v>0.71053495241220876</v>
      </c>
      <c r="D160" s="41">
        <v>0.73308270676691734</v>
      </c>
      <c r="E160" s="41">
        <v>0.7116424116424116</v>
      </c>
      <c r="F160" s="41">
        <v>0.70173475097929494</v>
      </c>
      <c r="G160" s="41">
        <v>0.6564444444444445</v>
      </c>
      <c r="H160" s="41">
        <v>0.71317044961688592</v>
      </c>
      <c r="I160" s="41">
        <v>0.71046737345079891</v>
      </c>
      <c r="J160" s="41">
        <v>0.72307916181606524</v>
      </c>
      <c r="K160" s="41">
        <v>0.69998480935743579</v>
      </c>
      <c r="L160" s="41">
        <v>0.72714660089409588</v>
      </c>
      <c r="M160" s="41">
        <v>0.71573107049608353</v>
      </c>
      <c r="N160" s="41">
        <v>0.68848908878893889</v>
      </c>
      <c r="O160" s="41">
        <v>0.64189449364651519</v>
      </c>
      <c r="P160" s="41">
        <v>0.70016820857863749</v>
      </c>
      <c r="Q160" s="41">
        <v>0.7167630057803468</v>
      </c>
      <c r="R160" s="41">
        <v>0.7302298402804831</v>
      </c>
      <c r="S160" s="41">
        <v>0.74258903817445088</v>
      </c>
      <c r="T160" s="89">
        <f t="shared" si="27"/>
        <v>1.9509876358385636</v>
      </c>
      <c r="U160" s="89">
        <f t="shared" si="28"/>
        <v>10.069454452793568</v>
      </c>
      <c r="V160" s="89">
        <f t="shared" si="29"/>
        <v>1.2359197893967777</v>
      </c>
      <c r="W160" s="146"/>
      <c r="X160" s="147"/>
      <c r="Y160" s="147"/>
    </row>
    <row r="161" spans="1:25" x14ac:dyDescent="0.25">
      <c r="A161" s="30" t="s">
        <v>205</v>
      </c>
      <c r="B161" s="41">
        <v>0.61545940690325718</v>
      </c>
      <c r="C161" s="41">
        <v>0.70722650671236786</v>
      </c>
      <c r="D161" s="41">
        <v>0.72258916776750326</v>
      </c>
      <c r="E161" s="41">
        <v>0.7427821522309711</v>
      </c>
      <c r="F161" s="41">
        <v>0.69200138504155129</v>
      </c>
      <c r="G161" s="41">
        <v>0.69827871565706723</v>
      </c>
      <c r="H161" s="41">
        <v>0.68782547501759328</v>
      </c>
      <c r="I161" s="41">
        <v>0.71016541778594655</v>
      </c>
      <c r="J161" s="41">
        <v>0.71110796259563613</v>
      </c>
      <c r="K161" s="41">
        <v>0.70542194393055357</v>
      </c>
      <c r="L161" s="41">
        <v>0.73395102581072136</v>
      </c>
      <c r="M161" s="41">
        <v>0.74253964290173557</v>
      </c>
      <c r="N161" s="41">
        <v>0.71362326106028329</v>
      </c>
      <c r="O161" s="41">
        <v>0.69528555001916448</v>
      </c>
      <c r="P161" s="41">
        <v>0.69621241702459979</v>
      </c>
      <c r="Q161" s="41">
        <v>0.7356959863364646</v>
      </c>
      <c r="R161" s="41">
        <v>0.72303543913713408</v>
      </c>
      <c r="S161" s="41">
        <v>0.72738158594997337</v>
      </c>
      <c r="T161" s="89">
        <f t="shared" si="27"/>
        <v>1.6273623354337241</v>
      </c>
      <c r="U161" s="89">
        <f t="shared" si="28"/>
        <v>3.2096035930808897</v>
      </c>
      <c r="V161" s="89">
        <f t="shared" si="29"/>
        <v>0.43461468128392911</v>
      </c>
      <c r="W161" s="146"/>
      <c r="X161" s="147"/>
      <c r="Y161" s="147"/>
    </row>
    <row r="162" spans="1:25" x14ac:dyDescent="0.25">
      <c r="A162" s="30" t="s">
        <v>219</v>
      </c>
      <c r="B162" s="41">
        <v>0.70040816326530608</v>
      </c>
      <c r="C162" s="41">
        <v>0.75496277915632759</v>
      </c>
      <c r="D162" s="41">
        <v>0.71122391426959952</v>
      </c>
      <c r="E162" s="41">
        <v>0.72488687782805428</v>
      </c>
      <c r="F162" s="41">
        <v>0.76447105788423153</v>
      </c>
      <c r="G162" s="41">
        <v>0.74836065573770494</v>
      </c>
      <c r="H162" s="41">
        <v>0.74514200298953659</v>
      </c>
      <c r="I162" s="41">
        <v>0.73318167045823857</v>
      </c>
      <c r="J162" s="41">
        <v>0.72690131992457574</v>
      </c>
      <c r="K162" s="41">
        <v>0.73278324341478895</v>
      </c>
      <c r="L162" s="41">
        <v>0.71976309226932667</v>
      </c>
      <c r="M162" s="41">
        <v>0.7271850899742931</v>
      </c>
      <c r="N162" s="41">
        <v>0.72441742654508612</v>
      </c>
      <c r="O162" s="41">
        <v>0.67773823645709763</v>
      </c>
      <c r="P162" s="41">
        <v>0.7041906327033689</v>
      </c>
      <c r="Q162" s="41">
        <v>0.72716248989490706</v>
      </c>
      <c r="R162" s="41">
        <v>0.75145498117083187</v>
      </c>
      <c r="S162" s="41">
        <v>0.74254937163375223</v>
      </c>
      <c r="T162" s="89">
        <f t="shared" si="27"/>
        <v>1.5648051709176491</v>
      </c>
      <c r="U162" s="89">
        <f t="shared" si="28"/>
        <v>6.4811135176654595</v>
      </c>
      <c r="V162" s="89">
        <f t="shared" si="29"/>
        <v>-0.89056095370796395</v>
      </c>
      <c r="W162" s="146"/>
      <c r="X162" s="147"/>
      <c r="Y162" s="147"/>
    </row>
    <row r="163" spans="1:25" x14ac:dyDescent="0.25">
      <c r="A163" s="30" t="s">
        <v>206</v>
      </c>
      <c r="B163" s="41">
        <v>0.64973077454093608</v>
      </c>
      <c r="C163" s="41">
        <v>0.69823964792958593</v>
      </c>
      <c r="D163" s="41">
        <v>0.66479809976247028</v>
      </c>
      <c r="E163" s="41">
        <v>0.68206175044654249</v>
      </c>
      <c r="F163" s="41">
        <v>0.67747526540044778</v>
      </c>
      <c r="G163" s="41">
        <v>0.68249140439037292</v>
      </c>
      <c r="H163" s="41">
        <v>0.67867334643921617</v>
      </c>
      <c r="I163" s="41">
        <v>0.69739051802092755</v>
      </c>
      <c r="J163" s="41">
        <v>0.688463274650158</v>
      </c>
      <c r="K163" s="41">
        <v>0.70632549681776857</v>
      </c>
      <c r="L163" s="41">
        <v>0.71219674310402126</v>
      </c>
      <c r="M163" s="41">
        <v>0.72632834982803396</v>
      </c>
      <c r="N163" s="41">
        <v>0.68302229677780113</v>
      </c>
      <c r="O163" s="41">
        <v>0.66060512264953963</v>
      </c>
      <c r="P163" s="41">
        <v>0.69115454696041079</v>
      </c>
      <c r="Q163" s="41">
        <v>0.71417885638297873</v>
      </c>
      <c r="R163" s="41">
        <v>0.72016493537387993</v>
      </c>
      <c r="S163" s="41">
        <v>0.70414582997257624</v>
      </c>
      <c r="T163" s="89">
        <f t="shared" si="27"/>
        <v>1.5682555322418246</v>
      </c>
      <c r="U163" s="89">
        <f t="shared" si="28"/>
        <v>4.3540707323036614</v>
      </c>
      <c r="V163" s="89">
        <f t="shared" si="29"/>
        <v>-1.601910540130369</v>
      </c>
      <c r="W163" s="146"/>
      <c r="X163" s="147"/>
      <c r="Y163" s="147"/>
    </row>
    <row r="164" spans="1:25" x14ac:dyDescent="0.25">
      <c r="A164" s="30" t="s">
        <v>207</v>
      </c>
      <c r="B164" s="41">
        <v>0.58783204798628963</v>
      </c>
      <c r="C164" s="41">
        <v>0.64533622559652926</v>
      </c>
      <c r="D164" s="41">
        <v>0.670166015625</v>
      </c>
      <c r="E164" s="41">
        <v>0.68842437389075128</v>
      </c>
      <c r="F164" s="41">
        <v>0.72536258832279654</v>
      </c>
      <c r="G164" s="41">
        <v>0.70605408727719732</v>
      </c>
      <c r="H164" s="41">
        <v>0.69161676646706582</v>
      </c>
      <c r="I164" s="41">
        <v>0.69059781858345992</v>
      </c>
      <c r="J164" s="41">
        <v>0.67831793223516812</v>
      </c>
      <c r="K164" s="41">
        <v>0.69301340860973892</v>
      </c>
      <c r="L164" s="41">
        <v>0.68560939794419973</v>
      </c>
      <c r="M164" s="41">
        <v>0.72065836025226893</v>
      </c>
      <c r="N164" s="41">
        <v>0.68382472715425968</v>
      </c>
      <c r="O164" s="41">
        <v>0.63752404266480156</v>
      </c>
      <c r="P164" s="41">
        <v>0.67984998295260823</v>
      </c>
      <c r="Q164" s="41">
        <v>0.73929299796057102</v>
      </c>
      <c r="R164" s="41">
        <v>0.71801786617225682</v>
      </c>
      <c r="S164" s="41">
        <v>0.7348448303585785</v>
      </c>
      <c r="T164" s="89">
        <f t="shared" si="27"/>
        <v>5.6526898123410385</v>
      </c>
      <c r="U164" s="89">
        <f t="shared" si="28"/>
        <v>9.7320787693776936</v>
      </c>
      <c r="V164" s="89">
        <f t="shared" si="29"/>
        <v>1.682696418632168</v>
      </c>
      <c r="W164" s="146"/>
      <c r="X164" s="147"/>
      <c r="Y164" s="147"/>
    </row>
    <row r="165" spans="1:25" x14ac:dyDescent="0.25">
      <c r="A165" s="30" t="s">
        <v>208</v>
      </c>
      <c r="B165" s="41">
        <v>0.52651515151515149</v>
      </c>
      <c r="C165" s="41">
        <v>0.6973518284993695</v>
      </c>
      <c r="D165" s="41">
        <v>0.69080459770114944</v>
      </c>
      <c r="E165" s="41">
        <v>0.75021910604732689</v>
      </c>
      <c r="F165" s="41">
        <v>0.72818181818181815</v>
      </c>
      <c r="G165" s="41">
        <v>0.73302263648468713</v>
      </c>
      <c r="H165" s="41">
        <v>0.64225211758844047</v>
      </c>
      <c r="I165" s="41">
        <v>0.64914586070959268</v>
      </c>
      <c r="J165" s="41">
        <v>0.65562500000000001</v>
      </c>
      <c r="K165" s="41">
        <v>0.68989958653278205</v>
      </c>
      <c r="L165" s="41">
        <v>0.73267838676318509</v>
      </c>
      <c r="M165" s="41">
        <v>0.72124670763827914</v>
      </c>
      <c r="N165" s="41">
        <v>0.70132743362831862</v>
      </c>
      <c r="O165" s="41">
        <v>0.65007180469123982</v>
      </c>
      <c r="P165" s="41">
        <v>0.66808712121212122</v>
      </c>
      <c r="Q165" s="41">
        <v>0.67691029900332222</v>
      </c>
      <c r="R165" s="41">
        <v>0.65684295518772706</v>
      </c>
      <c r="S165" s="41">
        <v>0.71754807692307687</v>
      </c>
      <c r="T165" s="89">
        <f t="shared" si="27"/>
        <v>6.1923076923076863</v>
      </c>
      <c r="U165" s="89">
        <f t="shared" si="28"/>
        <v>6.7476272231837058</v>
      </c>
      <c r="V165" s="89">
        <f t="shared" si="29"/>
        <v>6.070512173534981</v>
      </c>
      <c r="W165" s="146"/>
      <c r="X165" s="147"/>
      <c r="Y165" s="147"/>
    </row>
    <row r="166" spans="1:25" x14ac:dyDescent="0.25">
      <c r="A166" s="30" t="s">
        <v>209</v>
      </c>
      <c r="B166" s="41">
        <v>0.54801200300075015</v>
      </c>
      <c r="C166" s="41">
        <v>0.62567567567567572</v>
      </c>
      <c r="D166" s="41">
        <v>0.61602897894498532</v>
      </c>
      <c r="E166" s="41">
        <v>0.69439696106362769</v>
      </c>
      <c r="F166" s="41">
        <v>0.66816892004673678</v>
      </c>
      <c r="G166" s="41">
        <v>0.65981279729937092</v>
      </c>
      <c r="H166" s="41">
        <v>0.67775612472160351</v>
      </c>
      <c r="I166" s="41">
        <v>0.67711640211640212</v>
      </c>
      <c r="J166" s="41">
        <v>0.67340823970037456</v>
      </c>
      <c r="K166" s="41">
        <v>0.71207102159798596</v>
      </c>
      <c r="L166" s="41">
        <v>0.70154983648514146</v>
      </c>
      <c r="M166" s="41">
        <v>0.7128017967434026</v>
      </c>
      <c r="N166" s="41">
        <v>0.69118073687264292</v>
      </c>
      <c r="O166" s="41">
        <v>0.64639142767097379</v>
      </c>
      <c r="P166" s="41">
        <v>0.70221043324491605</v>
      </c>
      <c r="Q166" s="41">
        <v>0.72433734939759031</v>
      </c>
      <c r="R166" s="41">
        <v>0.74139118457300279</v>
      </c>
      <c r="S166" s="41">
        <v>0.7514587892049599</v>
      </c>
      <c r="T166" s="89">
        <f t="shared" si="27"/>
        <v>7.8050549504585343</v>
      </c>
      <c r="U166" s="89">
        <f t="shared" si="28"/>
        <v>10.506736153398609</v>
      </c>
      <c r="V166" s="89">
        <f t="shared" si="29"/>
        <v>1.0067604631957106</v>
      </c>
      <c r="W166" s="146"/>
      <c r="X166" s="147"/>
      <c r="Y166" s="147"/>
    </row>
    <row r="167" spans="1:25" x14ac:dyDescent="0.25">
      <c r="A167" s="30" t="s">
        <v>210</v>
      </c>
      <c r="B167" s="41">
        <v>0.55588235294117649</v>
      </c>
      <c r="C167" s="41">
        <v>0.58868894601542421</v>
      </c>
      <c r="D167" s="41">
        <v>0.62631578947368416</v>
      </c>
      <c r="E167" s="41">
        <v>0.67311411992263059</v>
      </c>
      <c r="F167" s="41">
        <v>0.60932944606413997</v>
      </c>
      <c r="G167" s="41">
        <v>0.64870689655172409</v>
      </c>
      <c r="H167" s="41">
        <v>0.63157894736842102</v>
      </c>
      <c r="I167" s="41">
        <v>0.65592972181551978</v>
      </c>
      <c r="J167" s="41">
        <v>0.67317708333333337</v>
      </c>
      <c r="K167" s="41">
        <v>0.68941176470588239</v>
      </c>
      <c r="L167" s="41">
        <v>0.71370420624151965</v>
      </c>
      <c r="M167" s="41">
        <v>0.70625000000000004</v>
      </c>
      <c r="N167" s="41">
        <v>0.69098143236074272</v>
      </c>
      <c r="O167" s="41">
        <v>0.59918478260869568</v>
      </c>
      <c r="P167" s="41">
        <v>0.6342525399129173</v>
      </c>
      <c r="Q167" s="41">
        <v>0.69756097560975605</v>
      </c>
      <c r="R167" s="41">
        <v>0.59927140255009104</v>
      </c>
      <c r="S167" s="41">
        <v>0.77218934911242598</v>
      </c>
      <c r="T167" s="89">
        <f t="shared" si="27"/>
        <v>9.9012265779092612</v>
      </c>
      <c r="U167" s="89">
        <f t="shared" si="28"/>
        <v>17.300456650373029</v>
      </c>
      <c r="V167" s="89">
        <f t="shared" si="29"/>
        <v>17.291794656233495</v>
      </c>
      <c r="W167" s="146"/>
      <c r="X167" s="147"/>
      <c r="Y167" s="147"/>
    </row>
    <row r="168" spans="1:25" x14ac:dyDescent="0.25">
      <c r="A168" s="30" t="s">
        <v>211</v>
      </c>
      <c r="B168" s="41">
        <v>0.40146878824969401</v>
      </c>
      <c r="C168" s="41">
        <v>0.65203073545554335</v>
      </c>
      <c r="D168" s="41">
        <v>0.67277726856095321</v>
      </c>
      <c r="E168" s="41">
        <v>0.62529832935560858</v>
      </c>
      <c r="F168" s="41">
        <v>0.58936825885978428</v>
      </c>
      <c r="G168" s="41">
        <v>0.66802278275020344</v>
      </c>
      <c r="H168" s="41">
        <v>0.62674504041146217</v>
      </c>
      <c r="I168" s="41">
        <v>0.64844290657439452</v>
      </c>
      <c r="J168" s="41">
        <v>0.64480519480519483</v>
      </c>
      <c r="K168" s="41">
        <v>0.65855263157894739</v>
      </c>
      <c r="L168" s="41">
        <v>0.67937372362151127</v>
      </c>
      <c r="M168" s="41">
        <v>0.67228739002932547</v>
      </c>
      <c r="N168" s="41">
        <v>0.63259031514219832</v>
      </c>
      <c r="O168" s="41">
        <v>0.65281385281385285</v>
      </c>
      <c r="P168" s="41">
        <v>0.66721854304635764</v>
      </c>
      <c r="Q168" s="41">
        <v>0.69278169014084512</v>
      </c>
      <c r="R168" s="41">
        <v>0.70200803212851404</v>
      </c>
      <c r="S168" s="41">
        <v>0.72089182493806769</v>
      </c>
      <c r="T168" s="89">
        <f t="shared" si="27"/>
        <v>7.6086630132872868</v>
      </c>
      <c r="U168" s="89">
        <f t="shared" si="28"/>
        <v>6.8077972124214847</v>
      </c>
      <c r="V168" s="89">
        <f t="shared" si="29"/>
        <v>1.8883792809553657</v>
      </c>
      <c r="W168" s="146"/>
      <c r="X168" s="147"/>
      <c r="Y168" s="147"/>
    </row>
    <row r="169" spans="1:25" x14ac:dyDescent="0.25">
      <c r="A169" s="81" t="s">
        <v>1</v>
      </c>
      <c r="B169" s="40">
        <v>0.66658579105335991</v>
      </c>
      <c r="C169" s="40">
        <v>0.6912781111500006</v>
      </c>
      <c r="D169" s="40">
        <v>0.70922233792689326</v>
      </c>
      <c r="E169" s="40">
        <v>0.7113320616485761</v>
      </c>
      <c r="F169" s="40">
        <v>0.6846562721474132</v>
      </c>
      <c r="G169" s="40">
        <v>0.68973220651564271</v>
      </c>
      <c r="H169" s="40">
        <v>0.69461321726761271</v>
      </c>
      <c r="I169" s="40">
        <v>0.7024570399536062</v>
      </c>
      <c r="J169" s="40">
        <v>0.71157616916382926</v>
      </c>
      <c r="K169" s="40">
        <v>0.72363000835048441</v>
      </c>
      <c r="L169" s="40">
        <v>0.73983376445526472</v>
      </c>
      <c r="M169" s="61">
        <v>0.74877261002307971</v>
      </c>
      <c r="N169" s="61">
        <v>0.73562169704699432</v>
      </c>
      <c r="O169" s="61">
        <v>0.75559151532642077</v>
      </c>
      <c r="P169" s="61">
        <v>0.75558506614668253</v>
      </c>
      <c r="Q169" s="61">
        <v>0.75949903510144479</v>
      </c>
      <c r="R169" s="61">
        <v>0.76487132988940454</v>
      </c>
      <c r="S169" s="61">
        <v>0.77306330481553465</v>
      </c>
      <c r="T169" s="90">
        <f t="shared" si="27"/>
        <v>6.1487135651705387</v>
      </c>
      <c r="U169" s="90">
        <f t="shared" si="28"/>
        <v>1.7471789489113876</v>
      </c>
      <c r="V169" s="90">
        <f t="shared" si="29"/>
        <v>0.81919749261301078</v>
      </c>
      <c r="W169" s="146"/>
      <c r="X169" s="147"/>
      <c r="Y169" s="147"/>
    </row>
    <row r="170" spans="1:25" x14ac:dyDescent="0.25">
      <c r="A170" s="57" t="s">
        <v>259</v>
      </c>
      <c r="B170" s="5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V170" s="12"/>
      <c r="W170" s="146"/>
      <c r="X170" s="147"/>
      <c r="Y170" s="147"/>
    </row>
    <row r="171" spans="1:25" x14ac:dyDescent="0.25">
      <c r="A171" s="57"/>
      <c r="B171" s="54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V171" s="12"/>
      <c r="W171" s="146"/>
      <c r="X171" s="147"/>
      <c r="Y171" s="147"/>
    </row>
    <row r="172" spans="1:25" ht="18" x14ac:dyDescent="0.25">
      <c r="A172" s="56" t="s">
        <v>262</v>
      </c>
      <c r="B172" s="56"/>
      <c r="C172" s="46"/>
      <c r="D172" s="46"/>
      <c r="E172" s="46"/>
      <c r="F172" s="46"/>
      <c r="G172" s="46"/>
      <c r="H172" s="6"/>
      <c r="I172" s="6"/>
      <c r="J172" s="6"/>
      <c r="K172" s="6"/>
      <c r="L172" s="6"/>
      <c r="M172" s="6"/>
      <c r="N172" s="6"/>
      <c r="O172" s="6"/>
      <c r="P172" s="6"/>
      <c r="Q172" s="6"/>
      <c r="V172" s="12"/>
      <c r="W172" s="146"/>
      <c r="X172" s="147"/>
      <c r="Y172" s="147"/>
    </row>
    <row r="173" spans="1:25" ht="45" customHeight="1" x14ac:dyDescent="0.25">
      <c r="A173" s="14" t="s">
        <v>354</v>
      </c>
      <c r="B173" s="38">
        <v>2007</v>
      </c>
      <c r="C173" s="38">
        <v>2008</v>
      </c>
      <c r="D173" s="38">
        <v>2009</v>
      </c>
      <c r="E173" s="38">
        <v>2010</v>
      </c>
      <c r="F173" s="38">
        <v>2011</v>
      </c>
      <c r="G173" s="38">
        <v>2012</v>
      </c>
      <c r="H173" s="38">
        <v>2013</v>
      </c>
      <c r="I173" s="38">
        <v>2014</v>
      </c>
      <c r="J173" s="38">
        <v>2015</v>
      </c>
      <c r="K173" s="38">
        <v>2016</v>
      </c>
      <c r="L173" s="38">
        <v>2017</v>
      </c>
      <c r="M173" s="38">
        <v>2018</v>
      </c>
      <c r="N173" s="38">
        <v>2019</v>
      </c>
      <c r="O173" s="38">
        <v>2020</v>
      </c>
      <c r="P173" s="38">
        <v>2021</v>
      </c>
      <c r="Q173" s="38">
        <v>2022</v>
      </c>
      <c r="R173" s="38">
        <v>2023</v>
      </c>
      <c r="S173" s="38">
        <v>2024</v>
      </c>
      <c r="T173" s="39" t="s">
        <v>373</v>
      </c>
      <c r="U173" s="39" t="s">
        <v>374</v>
      </c>
      <c r="V173" s="39" t="s">
        <v>375</v>
      </c>
      <c r="W173" s="146"/>
      <c r="X173" s="147"/>
      <c r="Y173" s="147"/>
    </row>
    <row r="174" spans="1:25" x14ac:dyDescent="0.25">
      <c r="A174" s="19" t="s">
        <v>92</v>
      </c>
      <c r="B174" s="41">
        <v>0.70532279657235175</v>
      </c>
      <c r="C174" s="41">
        <v>0.72388723580477932</v>
      </c>
      <c r="D174" s="41">
        <v>0.74519799470512027</v>
      </c>
      <c r="E174" s="41">
        <v>0.73968368493116987</v>
      </c>
      <c r="F174" s="41">
        <v>0.70910096410861434</v>
      </c>
      <c r="G174" s="41">
        <v>0.71040659808210516</v>
      </c>
      <c r="H174" s="41">
        <v>0.70779048571783454</v>
      </c>
      <c r="I174" s="41">
        <v>0.72390039991666977</v>
      </c>
      <c r="J174" s="41">
        <v>0.72530119658586922</v>
      </c>
      <c r="K174" s="41">
        <v>0.73547625870177158</v>
      </c>
      <c r="L174" s="41">
        <v>0.75596127925499323</v>
      </c>
      <c r="M174" s="41">
        <v>0.7642970919011528</v>
      </c>
      <c r="N174" s="41">
        <v>0.74982561956343341</v>
      </c>
      <c r="O174" s="41">
        <v>0.76174641873079529</v>
      </c>
      <c r="P174" s="41">
        <v>0.7632379382146639</v>
      </c>
      <c r="Q174" s="41">
        <v>0.76409163776467026</v>
      </c>
      <c r="R174" s="41">
        <v>0.77067981110017802</v>
      </c>
      <c r="S174" s="41">
        <v>0.77688572883328488</v>
      </c>
      <c r="T174" s="89">
        <f t="shared" ref="T174:T177" si="30">(S174-J174)*100</f>
        <v>5.1584532247415655</v>
      </c>
      <c r="U174" s="89">
        <f t="shared" ref="U174:U177" si="31">(S174-O174)*100</f>
        <v>1.5139310102489589</v>
      </c>
      <c r="V174" s="89">
        <f t="shared" ref="V174:V177" si="32">(S174-R174)*100</f>
        <v>0.62059177331068582</v>
      </c>
      <c r="W174" s="146"/>
      <c r="X174" s="147"/>
      <c r="Y174" s="147"/>
    </row>
    <row r="175" spans="1:25" x14ac:dyDescent="0.25">
      <c r="A175" s="19" t="s">
        <v>343</v>
      </c>
      <c r="B175" s="41" t="s">
        <v>62</v>
      </c>
      <c r="C175" s="41" t="s">
        <v>62</v>
      </c>
      <c r="D175" s="41" t="s">
        <v>62</v>
      </c>
      <c r="E175" s="41" t="s">
        <v>62</v>
      </c>
      <c r="F175" s="41" t="s">
        <v>62</v>
      </c>
      <c r="G175" s="41" t="s">
        <v>62</v>
      </c>
      <c r="H175" s="41" t="s">
        <v>62</v>
      </c>
      <c r="I175" s="41" t="s">
        <v>62</v>
      </c>
      <c r="J175" s="41" t="s">
        <v>62</v>
      </c>
      <c r="K175" s="41" t="s">
        <v>62</v>
      </c>
      <c r="L175" s="41">
        <v>0.90340909090909094</v>
      </c>
      <c r="M175" s="41">
        <v>0.82456140350877194</v>
      </c>
      <c r="N175" s="41">
        <v>0.78441682600382412</v>
      </c>
      <c r="O175" s="41">
        <v>0.73755158184319125</v>
      </c>
      <c r="P175" s="41">
        <v>0.70264218540080614</v>
      </c>
      <c r="Q175" s="41">
        <v>0.72834988673985013</v>
      </c>
      <c r="R175" s="41">
        <v>0.69526348808030114</v>
      </c>
      <c r="S175" s="41">
        <v>0.68105760633541956</v>
      </c>
      <c r="T175" s="41" t="s">
        <v>62</v>
      </c>
      <c r="U175" s="89">
        <f t="shared" si="31"/>
        <v>-5.6493975507771683</v>
      </c>
      <c r="V175" s="89">
        <f t="shared" si="32"/>
        <v>-1.4205881744881577</v>
      </c>
      <c r="W175" s="146"/>
      <c r="X175" s="147"/>
      <c r="Y175" s="147"/>
    </row>
    <row r="176" spans="1:25" x14ac:dyDescent="0.25">
      <c r="A176" s="19" t="s">
        <v>247</v>
      </c>
      <c r="B176" s="41">
        <v>0.51597742296795734</v>
      </c>
      <c r="C176" s="41">
        <v>0.53775424238777225</v>
      </c>
      <c r="D176" s="41">
        <v>0.55620333027193225</v>
      </c>
      <c r="E176" s="41">
        <v>0.57899772296741359</v>
      </c>
      <c r="F176" s="41">
        <v>0.51545234145719021</v>
      </c>
      <c r="G176" s="41">
        <v>0.54966740576496675</v>
      </c>
      <c r="H176" s="41">
        <v>0.56847686375321338</v>
      </c>
      <c r="I176" s="41">
        <v>0.52212872282374567</v>
      </c>
      <c r="J176" s="41">
        <v>0.57128387817826209</v>
      </c>
      <c r="K176" s="41">
        <v>0.58583640498784406</v>
      </c>
      <c r="L176" s="41">
        <v>0.57962653193595737</v>
      </c>
      <c r="M176" s="41">
        <v>0.56301402999516204</v>
      </c>
      <c r="N176" s="41">
        <v>0.54395208502206616</v>
      </c>
      <c r="O176" s="41">
        <v>0.59399310684391926</v>
      </c>
      <c r="P176" s="41">
        <v>0.58963039903055481</v>
      </c>
      <c r="Q176" s="41">
        <v>0.59736842105263155</v>
      </c>
      <c r="R176" s="41">
        <v>0.45910346292755472</v>
      </c>
      <c r="S176" s="41">
        <v>0.58159292035398225</v>
      </c>
      <c r="T176" s="89">
        <f t="shared" si="30"/>
        <v>1.0309042175720151</v>
      </c>
      <c r="U176" s="89">
        <f t="shared" si="31"/>
        <v>-1.2400186489937015</v>
      </c>
      <c r="V176" s="89">
        <f t="shared" si="32"/>
        <v>12.248945742642753</v>
      </c>
      <c r="W176" s="146"/>
      <c r="X176" s="147"/>
      <c r="Y176" s="147"/>
    </row>
    <row r="177" spans="1:25" x14ac:dyDescent="0.25">
      <c r="A177" s="20" t="s">
        <v>1</v>
      </c>
      <c r="B177" s="40">
        <v>0.66658579105335991</v>
      </c>
      <c r="C177" s="40">
        <v>0.6912781111500006</v>
      </c>
      <c r="D177" s="40">
        <v>0.70922233792689326</v>
      </c>
      <c r="E177" s="40">
        <v>0.7113320616485761</v>
      </c>
      <c r="F177" s="40">
        <v>0.6846562721474132</v>
      </c>
      <c r="G177" s="40">
        <v>0.68973220651564271</v>
      </c>
      <c r="H177" s="40">
        <v>0.69461321726761271</v>
      </c>
      <c r="I177" s="40">
        <v>0.7024570399536062</v>
      </c>
      <c r="J177" s="40">
        <v>0.71157616916382926</v>
      </c>
      <c r="K177" s="40">
        <v>0.72363000835048441</v>
      </c>
      <c r="L177" s="40">
        <v>0.73983376445526472</v>
      </c>
      <c r="M177" s="61">
        <v>0.74877261002307971</v>
      </c>
      <c r="N177" s="61">
        <v>0.73562169704699432</v>
      </c>
      <c r="O177" s="61">
        <v>0.75559151532642077</v>
      </c>
      <c r="P177" s="61">
        <v>0.75558506614668253</v>
      </c>
      <c r="Q177" s="61">
        <v>0.75949903510144479</v>
      </c>
      <c r="R177" s="61">
        <v>0.76487132988940454</v>
      </c>
      <c r="S177" s="61">
        <v>0.77306330481553465</v>
      </c>
      <c r="T177" s="90">
        <f t="shared" si="30"/>
        <v>6.1487135651705387</v>
      </c>
      <c r="U177" s="90">
        <f t="shared" si="31"/>
        <v>1.7471789489113876</v>
      </c>
      <c r="V177" s="90">
        <f t="shared" si="32"/>
        <v>0.81919749261301078</v>
      </c>
      <c r="W177" s="146"/>
      <c r="X177" s="147"/>
      <c r="Y177" s="147"/>
    </row>
    <row r="178" spans="1:25" x14ac:dyDescent="0.25">
      <c r="A178" s="119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T178" s="115"/>
      <c r="U178" s="116"/>
      <c r="V178" s="116"/>
      <c r="W178" s="146"/>
      <c r="X178" s="147"/>
      <c r="Y178" s="147"/>
    </row>
    <row r="179" spans="1:25" ht="18" x14ac:dyDescent="0.25">
      <c r="A179" s="56" t="s">
        <v>266</v>
      </c>
      <c r="B179" s="56"/>
      <c r="C179" s="46"/>
      <c r="D179" s="46"/>
      <c r="E179" s="46"/>
      <c r="F179" s="46"/>
      <c r="G179" s="46"/>
      <c r="H179" s="6"/>
      <c r="I179" s="6"/>
      <c r="J179" s="6"/>
      <c r="K179" s="6"/>
      <c r="L179" s="6"/>
      <c r="M179" s="6"/>
      <c r="N179" s="6"/>
      <c r="O179" s="6"/>
      <c r="P179" s="6"/>
      <c r="Q179" s="6"/>
      <c r="V179" s="12"/>
      <c r="W179" s="146"/>
      <c r="X179" s="147"/>
      <c r="Y179" s="147"/>
    </row>
    <row r="180" spans="1:25" ht="45" customHeight="1" x14ac:dyDescent="0.25">
      <c r="A180" s="14" t="s">
        <v>355</v>
      </c>
      <c r="B180" s="38">
        <v>2007</v>
      </c>
      <c r="C180" s="38">
        <v>2008</v>
      </c>
      <c r="D180" s="38">
        <v>2009</v>
      </c>
      <c r="E180" s="38">
        <v>2010</v>
      </c>
      <c r="F180" s="38">
        <v>2011</v>
      </c>
      <c r="G180" s="38">
        <v>2012</v>
      </c>
      <c r="H180" s="38">
        <v>2013</v>
      </c>
      <c r="I180" s="38">
        <v>2014</v>
      </c>
      <c r="J180" s="38">
        <v>2015</v>
      </c>
      <c r="K180" s="38">
        <v>2016</v>
      </c>
      <c r="L180" s="38">
        <v>2017</v>
      </c>
      <c r="M180" s="38">
        <v>2018</v>
      </c>
      <c r="N180" s="38">
        <v>2019</v>
      </c>
      <c r="O180" s="38">
        <v>2020</v>
      </c>
      <c r="P180" s="38">
        <v>2021</v>
      </c>
      <c r="Q180" s="38">
        <v>2022</v>
      </c>
      <c r="R180" s="38">
        <v>2023</v>
      </c>
      <c r="S180" s="38">
        <v>2024</v>
      </c>
      <c r="T180" s="39" t="s">
        <v>373</v>
      </c>
      <c r="U180" s="39" t="s">
        <v>374</v>
      </c>
      <c r="V180" s="39" t="s">
        <v>375</v>
      </c>
      <c r="W180" s="146"/>
      <c r="X180" s="147"/>
      <c r="Y180" s="147"/>
    </row>
    <row r="181" spans="1:25" x14ac:dyDescent="0.25">
      <c r="A181" s="81" t="s">
        <v>2</v>
      </c>
      <c r="B181" s="40">
        <v>0.57338243029984215</v>
      </c>
      <c r="C181" s="40">
        <v>0.62568364382156894</v>
      </c>
      <c r="D181" s="40">
        <v>0.67077541577380384</v>
      </c>
      <c r="E181" s="40">
        <v>0.63962304846282747</v>
      </c>
      <c r="F181" s="40">
        <v>0.61599207110429055</v>
      </c>
      <c r="G181" s="40">
        <v>0.63396955387511145</v>
      </c>
      <c r="H181" s="40">
        <v>0.6391307070833594</v>
      </c>
      <c r="I181" s="40">
        <v>0.63193502650721245</v>
      </c>
      <c r="J181" s="40">
        <v>0.65588555683711391</v>
      </c>
      <c r="K181" s="40">
        <v>0.66687276724374833</v>
      </c>
      <c r="L181" s="40">
        <v>0.68720600442722746</v>
      </c>
      <c r="M181" s="40">
        <v>0.7043048938934604</v>
      </c>
      <c r="N181" s="40">
        <v>0.6776652749370341</v>
      </c>
      <c r="O181" s="40">
        <v>0.66138092343960075</v>
      </c>
      <c r="P181" s="40">
        <v>0.68902109248242294</v>
      </c>
      <c r="Q181" s="40">
        <v>0.71704403898292668</v>
      </c>
      <c r="R181" s="40">
        <v>0.70959094687908242</v>
      </c>
      <c r="S181" s="40">
        <v>0.70921942692103068</v>
      </c>
      <c r="T181" s="90">
        <f t="shared" ref="T181:T192" si="33">(S181-J181)*100</f>
        <v>5.3333870083916768</v>
      </c>
      <c r="U181" s="90">
        <f t="shared" ref="U181:U192" si="34">(S181-O181)*100</f>
        <v>4.7838503481429928</v>
      </c>
      <c r="V181" s="140">
        <f t="shared" ref="V181:V192" si="35">(S181-R181)*100</f>
        <v>-3.7151995805173588E-2</v>
      </c>
      <c r="W181" s="146"/>
      <c r="X181" s="147"/>
      <c r="Y181" s="147"/>
    </row>
    <row r="182" spans="1:25" x14ac:dyDescent="0.25">
      <c r="A182" s="30" t="s">
        <v>92</v>
      </c>
      <c r="B182" s="41">
        <v>0.61906562246826902</v>
      </c>
      <c r="C182" s="41">
        <v>0.67865214711321142</v>
      </c>
      <c r="D182" s="41">
        <v>0.72409510828411328</v>
      </c>
      <c r="E182" s="41">
        <v>0.68437269567049408</v>
      </c>
      <c r="F182" s="41">
        <v>0.67222990553432882</v>
      </c>
      <c r="G182" s="41">
        <v>0.67394104178591874</v>
      </c>
      <c r="H182" s="41">
        <v>0.6608622276772016</v>
      </c>
      <c r="I182" s="41">
        <v>0.6567280040930823</v>
      </c>
      <c r="J182" s="41">
        <v>0.66114400470897827</v>
      </c>
      <c r="K182" s="41">
        <v>0.67026062250714846</v>
      </c>
      <c r="L182" s="41">
        <v>0.69835292327589482</v>
      </c>
      <c r="M182" s="41">
        <v>0.7104421697916864</v>
      </c>
      <c r="N182" s="41">
        <v>0.68487707520638663</v>
      </c>
      <c r="O182" s="41">
        <v>0.6630032206119163</v>
      </c>
      <c r="P182" s="41">
        <v>0.70326713387819029</v>
      </c>
      <c r="Q182" s="41">
        <v>0.72708991669060619</v>
      </c>
      <c r="R182" s="41">
        <v>0.71862375567797432</v>
      </c>
      <c r="S182" s="41">
        <v>0.71558353240684236</v>
      </c>
      <c r="T182" s="89">
        <f t="shared" si="33"/>
        <v>5.4439527697864083</v>
      </c>
      <c r="U182" s="89">
        <f t="shared" si="34"/>
        <v>5.2580311794926065</v>
      </c>
      <c r="V182" s="89">
        <f t="shared" si="35"/>
        <v>-0.30402232711319588</v>
      </c>
      <c r="W182" s="146"/>
      <c r="X182" s="147"/>
      <c r="Y182" s="147"/>
    </row>
    <row r="183" spans="1:25" x14ac:dyDescent="0.25">
      <c r="A183" s="30" t="s">
        <v>343</v>
      </c>
      <c r="B183" s="41" t="s">
        <v>62</v>
      </c>
      <c r="C183" s="41" t="s">
        <v>62</v>
      </c>
      <c r="D183" s="41" t="s">
        <v>62</v>
      </c>
      <c r="E183" s="41" t="s">
        <v>62</v>
      </c>
      <c r="F183" s="41" t="s">
        <v>62</v>
      </c>
      <c r="G183" s="41" t="s">
        <v>62</v>
      </c>
      <c r="H183" s="41" t="s">
        <v>62</v>
      </c>
      <c r="I183" s="41" t="s">
        <v>62</v>
      </c>
      <c r="J183" s="41" t="s">
        <v>62</v>
      </c>
      <c r="K183" s="41" t="s">
        <v>62</v>
      </c>
      <c r="L183" s="41" t="s">
        <v>62</v>
      </c>
      <c r="M183" s="41">
        <v>0.67464114832535882</v>
      </c>
      <c r="N183" s="41">
        <v>0.64932126696832582</v>
      </c>
      <c r="O183" s="41">
        <v>0.64483516483516479</v>
      </c>
      <c r="P183" s="41">
        <v>0.64501372369624888</v>
      </c>
      <c r="Q183" s="41">
        <v>0.68919237108547204</v>
      </c>
      <c r="R183" s="41">
        <v>0.69526348808030114</v>
      </c>
      <c r="S183" s="41">
        <v>0.68105760633541956</v>
      </c>
      <c r="T183" s="41" t="s">
        <v>62</v>
      </c>
      <c r="U183" s="89">
        <f t="shared" si="34"/>
        <v>3.6222441500254776</v>
      </c>
      <c r="V183" s="89">
        <f t="shared" si="35"/>
        <v>-1.4205881744881577</v>
      </c>
      <c r="W183" s="146"/>
      <c r="X183" s="147"/>
      <c r="Y183" s="147"/>
    </row>
    <row r="184" spans="1:25" x14ac:dyDescent="0.25">
      <c r="A184" s="30" t="s">
        <v>247</v>
      </c>
      <c r="B184" s="41">
        <v>0.52533515110202222</v>
      </c>
      <c r="C184" s="41">
        <v>0.53782801317732587</v>
      </c>
      <c r="D184" s="41">
        <v>0.58149913784359464</v>
      </c>
      <c r="E184" s="41">
        <v>0.56342764898435049</v>
      </c>
      <c r="F184" s="41">
        <v>0.49540085448605176</v>
      </c>
      <c r="G184" s="41">
        <v>0.54404979075008053</v>
      </c>
      <c r="H184" s="41">
        <v>0.5424769703172978</v>
      </c>
      <c r="I184" s="41">
        <v>0.46070427683684662</v>
      </c>
      <c r="J184" s="41">
        <v>0.59073359073359077</v>
      </c>
      <c r="K184" s="41">
        <v>0.61079288513717211</v>
      </c>
      <c r="L184" s="41">
        <v>0.57548608463591311</v>
      </c>
      <c r="M184" s="41">
        <v>0.63607119879905638</v>
      </c>
      <c r="N184" s="41">
        <v>0.55981012658227847</v>
      </c>
      <c r="O184" s="41">
        <v>0.64304013663535442</v>
      </c>
      <c r="P184" s="41">
        <v>0.45275919732441472</v>
      </c>
      <c r="Q184" s="41">
        <v>0.48599875544492843</v>
      </c>
      <c r="R184" s="41">
        <v>0.25662650602409637</v>
      </c>
      <c r="S184" s="41">
        <v>0.47116968698517298</v>
      </c>
      <c r="T184" s="90">
        <f t="shared" si="33"/>
        <v>-11.95639037484178</v>
      </c>
      <c r="U184" s="90">
        <f t="shared" si="34"/>
        <v>-17.187044965018146</v>
      </c>
      <c r="V184" s="90">
        <f t="shared" si="35"/>
        <v>21.454318096107659</v>
      </c>
      <c r="W184" s="146"/>
      <c r="X184" s="147"/>
      <c r="Y184" s="147"/>
    </row>
    <row r="185" spans="1:25" x14ac:dyDescent="0.25">
      <c r="A185" s="81" t="s">
        <v>3</v>
      </c>
      <c r="B185" s="40">
        <v>0.57332552235891432</v>
      </c>
      <c r="C185" s="40">
        <v>0.62948123785319177</v>
      </c>
      <c r="D185" s="40">
        <v>0.64158851038818332</v>
      </c>
      <c r="E185" s="40">
        <v>0.64470485160442448</v>
      </c>
      <c r="F185" s="40">
        <v>0.64074570894243665</v>
      </c>
      <c r="G185" s="40">
        <v>0.64525364092239779</v>
      </c>
      <c r="H185" s="40">
        <v>0.66088429885428435</v>
      </c>
      <c r="I185" s="40">
        <v>0.67389038720096739</v>
      </c>
      <c r="J185" s="40">
        <v>0.67539280011252412</v>
      </c>
      <c r="K185" s="40">
        <v>0.68481568314461017</v>
      </c>
      <c r="L185" s="40">
        <v>0.70821039955270737</v>
      </c>
      <c r="M185" s="40">
        <v>0.72223829541006479</v>
      </c>
      <c r="N185" s="40">
        <v>0.6931495299523629</v>
      </c>
      <c r="O185" s="40">
        <v>0.6879956504621384</v>
      </c>
      <c r="P185" s="40">
        <v>0.70536467751657628</v>
      </c>
      <c r="Q185" s="40">
        <v>0.72033145190344661</v>
      </c>
      <c r="R185" s="40">
        <v>0.721774009407395</v>
      </c>
      <c r="S185" s="40">
        <v>0.7275282683267692</v>
      </c>
      <c r="T185" s="89">
        <f t="shared" si="33"/>
        <v>5.213546821424508</v>
      </c>
      <c r="U185" s="89">
        <f t="shared" si="34"/>
        <v>3.9532617864630804</v>
      </c>
      <c r="V185" s="89">
        <f t="shared" si="35"/>
        <v>0.57542589193742</v>
      </c>
      <c r="W185" s="146"/>
      <c r="X185" s="147"/>
      <c r="Y185" s="147"/>
    </row>
    <row r="186" spans="1:25" x14ac:dyDescent="0.25">
      <c r="A186" s="30" t="s">
        <v>92</v>
      </c>
      <c r="B186" s="41">
        <v>0.60495065181822982</v>
      </c>
      <c r="C186" s="41">
        <v>0.64659834165937069</v>
      </c>
      <c r="D186" s="41">
        <v>0.66577941472322377</v>
      </c>
      <c r="E186" s="41">
        <v>0.66917046029337379</v>
      </c>
      <c r="F186" s="41">
        <v>0.65988588715507557</v>
      </c>
      <c r="G186" s="41">
        <v>0.65874894510425452</v>
      </c>
      <c r="H186" s="41">
        <v>0.66925847327034338</v>
      </c>
      <c r="I186" s="41">
        <v>0.69304259562646908</v>
      </c>
      <c r="J186" s="41">
        <v>0.69144713429267535</v>
      </c>
      <c r="K186" s="41">
        <v>0.69944873834962495</v>
      </c>
      <c r="L186" s="41">
        <v>0.73120594360781799</v>
      </c>
      <c r="M186" s="41">
        <v>0.7467033876037642</v>
      </c>
      <c r="N186" s="41">
        <v>0.71530763706009093</v>
      </c>
      <c r="O186" s="41">
        <v>0.6943268086102925</v>
      </c>
      <c r="P186" s="41">
        <v>0.7093600927115431</v>
      </c>
      <c r="Q186" s="41">
        <v>0.72331001569037656</v>
      </c>
      <c r="R186" s="41">
        <v>0.72707269094104021</v>
      </c>
      <c r="S186" s="41">
        <v>0.72908687115774562</v>
      </c>
      <c r="T186" s="89">
        <f t="shared" si="33"/>
        <v>3.7639736865070272</v>
      </c>
      <c r="U186" s="89">
        <f t="shared" si="34"/>
        <v>3.4760062547453119</v>
      </c>
      <c r="V186" s="89">
        <f t="shared" si="35"/>
        <v>0.20141802167054079</v>
      </c>
      <c r="W186" s="146"/>
      <c r="X186" s="147"/>
      <c r="Y186" s="147"/>
    </row>
    <row r="187" spans="1:25" x14ac:dyDescent="0.25">
      <c r="A187" s="30" t="s">
        <v>247</v>
      </c>
      <c r="B187" s="41">
        <v>0.38861487875051376</v>
      </c>
      <c r="C187" s="41">
        <v>0.5140641277925686</v>
      </c>
      <c r="D187" s="41">
        <v>0.52701018837499081</v>
      </c>
      <c r="E187" s="41">
        <v>0.48650858544562553</v>
      </c>
      <c r="F187" s="41">
        <v>0.49991816693944352</v>
      </c>
      <c r="G187" s="41">
        <v>0.52730053071871907</v>
      </c>
      <c r="H187" s="41">
        <v>0.56923966464296039</v>
      </c>
      <c r="I187" s="41">
        <v>0.51318640268957794</v>
      </c>
      <c r="J187" s="41">
        <v>0.51933652652119922</v>
      </c>
      <c r="K187" s="41">
        <v>0.57976336189310484</v>
      </c>
      <c r="L187" s="41">
        <v>0.56802783373008603</v>
      </c>
      <c r="M187" s="41">
        <v>0.55192737619402477</v>
      </c>
      <c r="N187" s="41">
        <v>0.52997179125528915</v>
      </c>
      <c r="O187" s="41">
        <v>0.53336510962821737</v>
      </c>
      <c r="P187" s="41">
        <v>0.61303716005812747</v>
      </c>
      <c r="Q187" s="41">
        <v>0.57666535277887265</v>
      </c>
      <c r="R187" s="41">
        <v>0.47601875225387669</v>
      </c>
      <c r="S187" s="41">
        <v>0.61084337349397588</v>
      </c>
      <c r="T187" s="89">
        <f t="shared" si="33"/>
        <v>9.1506846972776668</v>
      </c>
      <c r="U187" s="89">
        <f t="shared" si="34"/>
        <v>7.7478263865758512</v>
      </c>
      <c r="V187" s="89">
        <f t="shared" si="35"/>
        <v>13.482462124009921</v>
      </c>
      <c r="W187" s="146"/>
      <c r="X187" s="147"/>
      <c r="Y187" s="147"/>
    </row>
    <row r="188" spans="1:25" x14ac:dyDescent="0.25">
      <c r="A188" s="81" t="s">
        <v>4</v>
      </c>
      <c r="B188" s="40">
        <v>0.74646289375333685</v>
      </c>
      <c r="C188" s="40">
        <v>0.74963747863351726</v>
      </c>
      <c r="D188" s="40">
        <v>0.76462797157280493</v>
      </c>
      <c r="E188" s="40">
        <v>0.78328907697839734</v>
      </c>
      <c r="F188" s="40">
        <v>0.74490335064810309</v>
      </c>
      <c r="G188" s="40">
        <v>0.74557350235125741</v>
      </c>
      <c r="H188" s="40">
        <v>0.74931480655236149</v>
      </c>
      <c r="I188" s="40">
        <v>0.76204896201977457</v>
      </c>
      <c r="J188" s="40">
        <v>0.76845323923455378</v>
      </c>
      <c r="K188" s="40">
        <v>0.77914238569668104</v>
      </c>
      <c r="L188" s="40">
        <v>0.78736286666147959</v>
      </c>
      <c r="M188" s="40">
        <v>0.78895438417935349</v>
      </c>
      <c r="N188" s="40">
        <v>0.79652944646685564</v>
      </c>
      <c r="O188" s="40">
        <v>0.85034322128356299</v>
      </c>
      <c r="P188" s="40">
        <v>0.83126862410107671</v>
      </c>
      <c r="Q188" s="40">
        <v>0.81614614024749554</v>
      </c>
      <c r="R188" s="40">
        <v>0.82641480796694011</v>
      </c>
      <c r="S188" s="40">
        <v>0.83978909896900289</v>
      </c>
      <c r="T188" s="90">
        <f t="shared" si="33"/>
        <v>7.1335859734449114</v>
      </c>
      <c r="U188" s="90">
        <f t="shared" si="34"/>
        <v>-1.0554122314560099</v>
      </c>
      <c r="V188" s="90">
        <f t="shared" si="35"/>
        <v>1.3374291002062777</v>
      </c>
      <c r="W188" s="146"/>
      <c r="X188" s="147"/>
      <c r="Y188" s="147"/>
    </row>
    <row r="189" spans="1:25" x14ac:dyDescent="0.25">
      <c r="A189" s="30" t="s">
        <v>92</v>
      </c>
      <c r="B189" s="41">
        <v>0.77714285714285714</v>
      </c>
      <c r="C189" s="41">
        <v>0.77773462424057482</v>
      </c>
      <c r="D189" s="41">
        <v>0.79570544704597845</v>
      </c>
      <c r="E189" s="41">
        <v>0.80018442332245709</v>
      </c>
      <c r="F189" s="41">
        <v>0.75235643250182094</v>
      </c>
      <c r="G189" s="41">
        <v>0.75859303138452483</v>
      </c>
      <c r="H189" s="41">
        <v>0.75940748362106791</v>
      </c>
      <c r="I189" s="41">
        <v>0.78264064998627014</v>
      </c>
      <c r="J189" s="41">
        <v>0.78447911263615688</v>
      </c>
      <c r="K189" s="41">
        <v>0.78971296785945122</v>
      </c>
      <c r="L189" s="41">
        <v>0.79726695949243531</v>
      </c>
      <c r="M189" s="41">
        <v>0.79875759841849236</v>
      </c>
      <c r="N189" s="41">
        <v>0.80387288977159876</v>
      </c>
      <c r="O189" s="41">
        <v>0.85617916460188304</v>
      </c>
      <c r="P189" s="41">
        <v>0.83790747543926725</v>
      </c>
      <c r="Q189" s="41">
        <v>0.81945610274882441</v>
      </c>
      <c r="R189" s="41">
        <v>0.82839167159094862</v>
      </c>
      <c r="S189" s="41">
        <v>0.84063589231899793</v>
      </c>
      <c r="T189" s="89">
        <f t="shared" si="33"/>
        <v>5.6156779682841051</v>
      </c>
      <c r="U189" s="89">
        <f t="shared" si="34"/>
        <v>-1.5543272282885101</v>
      </c>
      <c r="V189" s="89">
        <f t="shared" si="35"/>
        <v>1.2244220728049315</v>
      </c>
      <c r="W189" s="146"/>
      <c r="X189" s="147"/>
      <c r="Y189" s="147"/>
    </row>
    <row r="190" spans="1:25" x14ac:dyDescent="0.25">
      <c r="A190" s="30" t="s">
        <v>343</v>
      </c>
      <c r="B190" s="41" t="s">
        <v>62</v>
      </c>
      <c r="C190" s="41" t="s">
        <v>62</v>
      </c>
      <c r="D190" s="41" t="s">
        <v>62</v>
      </c>
      <c r="E190" s="41" t="s">
        <v>62</v>
      </c>
      <c r="F190" s="41" t="s">
        <v>62</v>
      </c>
      <c r="G190" s="41" t="s">
        <v>62</v>
      </c>
      <c r="H190" s="41" t="s">
        <v>62</v>
      </c>
      <c r="I190" s="41" t="s">
        <v>62</v>
      </c>
      <c r="J190" s="41" t="s">
        <v>62</v>
      </c>
      <c r="K190" s="41" t="s">
        <v>62</v>
      </c>
      <c r="L190" s="41">
        <v>0.90340909090909094</v>
      </c>
      <c r="M190" s="41">
        <v>0.8545454545454545</v>
      </c>
      <c r="N190" s="41">
        <v>0.88327814569536423</v>
      </c>
      <c r="O190" s="41">
        <v>0.89264705882352946</v>
      </c>
      <c r="P190" s="41">
        <v>0.8618365627632687</v>
      </c>
      <c r="Q190" s="41">
        <v>0.83981233243967823</v>
      </c>
      <c r="R190" s="41" t="s">
        <v>62</v>
      </c>
      <c r="S190" s="41" t="s">
        <v>62</v>
      </c>
      <c r="T190" s="41" t="s">
        <v>62</v>
      </c>
      <c r="U190" s="41" t="s">
        <v>62</v>
      </c>
      <c r="V190" s="41" t="s">
        <v>62</v>
      </c>
      <c r="W190" s="146"/>
      <c r="X190" s="147"/>
      <c r="Y190" s="147"/>
    </row>
    <row r="191" spans="1:25" x14ac:dyDescent="0.25">
      <c r="A191" s="30" t="s">
        <v>247</v>
      </c>
      <c r="B191" s="41">
        <v>0.57503984173215361</v>
      </c>
      <c r="C191" s="41">
        <v>0.55104575163398695</v>
      </c>
      <c r="D191" s="41">
        <v>0.55019431988041856</v>
      </c>
      <c r="E191" s="41">
        <v>0.66238014664410605</v>
      </c>
      <c r="F191" s="41">
        <v>0.59872701555869867</v>
      </c>
      <c r="G191" s="41">
        <v>0.58227964928472542</v>
      </c>
      <c r="H191" s="41">
        <v>0.60139705067080607</v>
      </c>
      <c r="I191" s="41">
        <v>0.56929008845543205</v>
      </c>
      <c r="J191" s="41">
        <v>0.61027095148078137</v>
      </c>
      <c r="K191" s="41">
        <v>0.58670945313544587</v>
      </c>
      <c r="L191" s="41">
        <v>0.60725469728601256</v>
      </c>
      <c r="M191" s="41">
        <v>0.53011152416356877</v>
      </c>
      <c r="N191" s="41">
        <v>0.57439375256884506</v>
      </c>
      <c r="O191" s="41">
        <v>0.63256842687309922</v>
      </c>
      <c r="P191" s="41">
        <v>0.63904235727440151</v>
      </c>
      <c r="Q191" s="41">
        <v>0.67262678803641096</v>
      </c>
      <c r="R191" s="41">
        <v>0.5688405797101449</v>
      </c>
      <c r="S191" s="41">
        <v>0.61469534050179209</v>
      </c>
      <c r="T191" s="89">
        <f t="shared" si="33"/>
        <v>0.44243890210107217</v>
      </c>
      <c r="U191" s="89">
        <f t="shared" si="34"/>
        <v>-1.7873086371307134</v>
      </c>
      <c r="V191" s="89">
        <f t="shared" si="35"/>
        <v>4.5854760791647191</v>
      </c>
      <c r="W191" s="146"/>
      <c r="X191" s="147"/>
      <c r="Y191" s="147"/>
    </row>
    <row r="192" spans="1:25" x14ac:dyDescent="0.25">
      <c r="A192" s="20" t="s">
        <v>1</v>
      </c>
      <c r="B192" s="40">
        <v>0.66658579105335991</v>
      </c>
      <c r="C192" s="40">
        <v>0.6912781111500006</v>
      </c>
      <c r="D192" s="40">
        <v>0.70922233792689326</v>
      </c>
      <c r="E192" s="40">
        <v>0.7113320616485761</v>
      </c>
      <c r="F192" s="40">
        <v>0.6846562721474132</v>
      </c>
      <c r="G192" s="40">
        <v>0.68973220651564271</v>
      </c>
      <c r="H192" s="40">
        <v>0.69461321726761271</v>
      </c>
      <c r="I192" s="40">
        <v>0.7024570399536062</v>
      </c>
      <c r="J192" s="40">
        <v>0.71157616916382926</v>
      </c>
      <c r="K192" s="40">
        <v>0.72363000835048441</v>
      </c>
      <c r="L192" s="40">
        <v>0.73983376445526472</v>
      </c>
      <c r="M192" s="61">
        <v>0.74877261002307971</v>
      </c>
      <c r="N192" s="61">
        <v>0.73562169704699432</v>
      </c>
      <c r="O192" s="61">
        <v>0.75559151532642077</v>
      </c>
      <c r="P192" s="61">
        <v>0.75558506614668253</v>
      </c>
      <c r="Q192" s="61">
        <v>0.75949903510144479</v>
      </c>
      <c r="R192" s="61">
        <v>0.76487132988940454</v>
      </c>
      <c r="S192" s="61">
        <v>0.77306330481553465</v>
      </c>
      <c r="T192" s="90">
        <f t="shared" si="33"/>
        <v>6.1487135651705387</v>
      </c>
      <c r="U192" s="90">
        <f t="shared" si="34"/>
        <v>1.7471789489113876</v>
      </c>
      <c r="V192" s="90">
        <f t="shared" si="35"/>
        <v>0.81919749261301078</v>
      </c>
      <c r="W192" s="146"/>
      <c r="X192" s="147"/>
      <c r="Y192" s="147"/>
    </row>
    <row r="193" spans="1:17" x14ac:dyDescent="0.25">
      <c r="A193" s="54"/>
      <c r="B193" s="54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x14ac:dyDescent="0.25">
      <c r="A194" s="54"/>
      <c r="B194" s="54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x14ac:dyDescent="0.25">
      <c r="A195" s="76" t="s">
        <v>252</v>
      </c>
      <c r="B195" s="58"/>
      <c r="C195" s="48"/>
      <c r="D195" s="48"/>
      <c r="E195" s="48"/>
      <c r="F195" s="48"/>
      <c r="G195" s="48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25">
      <c r="A196" s="54"/>
      <c r="B196" s="54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x14ac:dyDescent="0.25">
      <c r="A197" s="59" t="s">
        <v>72</v>
      </c>
      <c r="B197" s="59"/>
      <c r="C197" s="49"/>
      <c r="D197" s="49"/>
      <c r="E197" s="49"/>
      <c r="F197" s="49"/>
      <c r="G197" s="49"/>
    </row>
    <row r="216" spans="1:20" x14ac:dyDescent="0.25">
      <c r="A216" s="60"/>
      <c r="B216" s="60"/>
      <c r="C216" s="50"/>
      <c r="D216" s="50"/>
      <c r="E216" s="50"/>
      <c r="F216" s="50"/>
      <c r="G216" s="5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</sheetData>
  <hyperlinks>
    <hyperlink ref="A197" location="Indice!A1" display="Volver al índice" xr:uid="{00000000-0004-0000-02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V192"/>
  <sheetViews>
    <sheetView showGridLines="0" zoomScale="80" zoomScaleNormal="80" workbookViewId="0">
      <pane ySplit="4" topLeftCell="A5" activePane="bottomLeft" state="frozen"/>
      <selection activeCell="C14" sqref="C14"/>
      <selection pane="bottomLeft" activeCell="A5" sqref="A5"/>
    </sheetView>
  </sheetViews>
  <sheetFormatPr baseColWidth="10" defaultRowHeight="15" x14ac:dyDescent="0.25"/>
  <cols>
    <col min="1" max="1" width="46.28515625" style="24" customWidth="1"/>
    <col min="2" max="19" width="9.7109375" style="24" customWidth="1"/>
    <col min="20" max="21" width="12.85546875" style="24" customWidth="1"/>
    <col min="22" max="22" width="12.28515625" style="24" customWidth="1"/>
    <col min="23" max="23" width="12.7109375" style="24" bestFit="1" customWidth="1"/>
    <col min="24" max="16384" width="11.42578125" style="24"/>
  </cols>
  <sheetData>
    <row r="1" spans="1:22" ht="21" x14ac:dyDescent="0.25">
      <c r="A1" s="33" t="s">
        <v>105</v>
      </c>
      <c r="B1" s="33"/>
      <c r="C1" s="33"/>
      <c r="D1" s="33"/>
      <c r="E1" s="33"/>
      <c r="F1" s="33"/>
      <c r="G1" s="33"/>
      <c r="H1" s="7"/>
      <c r="I1" s="7"/>
      <c r="J1" s="7"/>
      <c r="K1" s="7"/>
      <c r="L1" s="7"/>
    </row>
    <row r="2" spans="1:22" ht="15" customHeight="1" x14ac:dyDescent="0.25">
      <c r="A2" s="53"/>
      <c r="B2" s="53"/>
      <c r="C2"/>
      <c r="D2"/>
      <c r="E2"/>
      <c r="F2"/>
      <c r="G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ht="15" customHeight="1" x14ac:dyDescent="0.25">
      <c r="A3" s="54" t="s">
        <v>111</v>
      </c>
      <c r="B3" s="53"/>
      <c r="C3"/>
      <c r="D3"/>
      <c r="E3"/>
      <c r="F3"/>
      <c r="G3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2" ht="18" x14ac:dyDescent="0.25">
      <c r="A5" s="25" t="s">
        <v>267</v>
      </c>
      <c r="B5" s="25"/>
      <c r="C5" s="25"/>
      <c r="D5" s="25"/>
      <c r="E5" s="25"/>
      <c r="F5" s="25"/>
      <c r="G5" s="2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2"/>
    </row>
    <row r="6" spans="1:22" ht="45" customHeight="1" x14ac:dyDescent="0.25">
      <c r="A6" s="14" t="s">
        <v>93</v>
      </c>
      <c r="B6" s="38">
        <v>2007</v>
      </c>
      <c r="C6" s="38">
        <v>2008</v>
      </c>
      <c r="D6" s="38">
        <v>2009</v>
      </c>
      <c r="E6" s="38">
        <v>2010</v>
      </c>
      <c r="F6" s="38">
        <v>2011</v>
      </c>
      <c r="G6" s="38">
        <v>2012</v>
      </c>
      <c r="H6" s="38">
        <v>2013</v>
      </c>
      <c r="I6" s="38">
        <v>2014</v>
      </c>
      <c r="J6" s="38">
        <v>2015</v>
      </c>
      <c r="K6" s="38">
        <v>2016</v>
      </c>
      <c r="L6" s="38">
        <v>2017</v>
      </c>
      <c r="M6" s="38">
        <v>2018</v>
      </c>
      <c r="N6" s="38">
        <v>2019</v>
      </c>
      <c r="O6" s="38">
        <v>2020</v>
      </c>
      <c r="P6" s="38">
        <v>2021</v>
      </c>
      <c r="Q6" s="38">
        <v>2022</v>
      </c>
      <c r="R6" s="38">
        <v>2023</v>
      </c>
      <c r="S6" s="38">
        <v>2024</v>
      </c>
      <c r="T6" s="39" t="s">
        <v>373</v>
      </c>
      <c r="U6" s="39" t="s">
        <v>374</v>
      </c>
      <c r="V6" s="39" t="s">
        <v>375</v>
      </c>
    </row>
    <row r="7" spans="1:22" x14ac:dyDescent="0.25">
      <c r="A7" s="15" t="s">
        <v>238</v>
      </c>
      <c r="B7" s="16">
        <v>0.55339805825242716</v>
      </c>
      <c r="C7" s="16">
        <v>0.67592592592592593</v>
      </c>
      <c r="D7" s="16">
        <v>0.65909090909090906</v>
      </c>
      <c r="E7" s="16">
        <v>0.67741935483870963</v>
      </c>
      <c r="F7" s="16">
        <v>0.62127659574468086</v>
      </c>
      <c r="G7" s="16">
        <v>0.59512195121951217</v>
      </c>
      <c r="H7" s="16">
        <v>0.647887323943662</v>
      </c>
      <c r="I7" s="16">
        <v>0.55807365439093481</v>
      </c>
      <c r="J7" s="16">
        <v>0.67076167076167081</v>
      </c>
      <c r="K7" s="16">
        <v>0.70794824399260625</v>
      </c>
      <c r="L7" s="16">
        <v>0.69956140350877194</v>
      </c>
      <c r="M7" s="41">
        <v>0.68333333333333335</v>
      </c>
      <c r="N7" s="41">
        <v>0.65007541478129716</v>
      </c>
      <c r="O7" s="41">
        <v>0.6952908587257618</v>
      </c>
      <c r="P7" s="41">
        <v>0.77744807121661719</v>
      </c>
      <c r="Q7" s="41">
        <v>0.79857578840284837</v>
      </c>
      <c r="R7" s="41">
        <v>0.7927927927927928</v>
      </c>
      <c r="S7" s="41">
        <v>0.81593194122196444</v>
      </c>
      <c r="T7" s="89">
        <f t="shared" ref="T7:T18" si="0">(S7-J7)*100</f>
        <v>14.517027046029362</v>
      </c>
      <c r="U7" s="89">
        <f t="shared" ref="U7:U17" si="1">(S7-O7)*100</f>
        <v>12.064108249620265</v>
      </c>
      <c r="V7" s="89">
        <f t="shared" ref="V7:V26" si="2">(S7-R7)*100</f>
        <v>2.3139148429171641</v>
      </c>
    </row>
    <row r="8" spans="1:22" x14ac:dyDescent="0.25">
      <c r="A8" s="15" t="s">
        <v>27</v>
      </c>
      <c r="B8" s="16">
        <v>0.57342657342657344</v>
      </c>
      <c r="C8" s="16">
        <v>0.76688453159041392</v>
      </c>
      <c r="D8" s="16">
        <v>0.76980198019801982</v>
      </c>
      <c r="E8" s="16">
        <v>0.73652694610778446</v>
      </c>
      <c r="F8" s="16">
        <v>0.67896311066799597</v>
      </c>
      <c r="G8" s="16">
        <v>0.67298105682951148</v>
      </c>
      <c r="H8" s="16">
        <v>0.65392781316348192</v>
      </c>
      <c r="I8" s="16">
        <v>0.66313763233878731</v>
      </c>
      <c r="J8" s="16">
        <v>0.66969972702456781</v>
      </c>
      <c r="K8" s="16">
        <v>0.70236966824644553</v>
      </c>
      <c r="L8" s="16">
        <v>0.70910698496905389</v>
      </c>
      <c r="M8" s="41">
        <v>0.75022222222222223</v>
      </c>
      <c r="N8" s="41">
        <v>0.7507836990595611</v>
      </c>
      <c r="O8" s="41">
        <v>0.74356775300171529</v>
      </c>
      <c r="P8" s="41">
        <v>0.73359073359073357</v>
      </c>
      <c r="Q8" s="41">
        <v>0.77104642014162073</v>
      </c>
      <c r="R8" s="41">
        <v>0.72093023255813948</v>
      </c>
      <c r="S8" s="41">
        <v>0.76388888888888884</v>
      </c>
      <c r="T8" s="89">
        <f t="shared" si="0"/>
        <v>9.4189161864321029</v>
      </c>
      <c r="U8" s="89">
        <f t="shared" si="1"/>
        <v>2.0321135887173547</v>
      </c>
      <c r="V8" s="89">
        <f t="shared" si="2"/>
        <v>4.2958656330749356</v>
      </c>
    </row>
    <row r="9" spans="1:22" x14ac:dyDescent="0.25">
      <c r="A9" s="15" t="s">
        <v>19</v>
      </c>
      <c r="B9" s="16">
        <v>0.69565217391304346</v>
      </c>
      <c r="C9" s="16">
        <v>0.67838125665601701</v>
      </c>
      <c r="D9" s="16">
        <v>0.72399020807833536</v>
      </c>
      <c r="E9" s="16">
        <v>0.71962215543151564</v>
      </c>
      <c r="F9" s="16">
        <v>0.72029102667744538</v>
      </c>
      <c r="G9" s="16">
        <v>0.70652570178636531</v>
      </c>
      <c r="H9" s="16">
        <v>0.72533225936367296</v>
      </c>
      <c r="I9" s="16">
        <v>0.68798809966530305</v>
      </c>
      <c r="J9" s="16">
        <v>0.72497402147558021</v>
      </c>
      <c r="K9" s="16">
        <v>0.77059182428309947</v>
      </c>
      <c r="L9" s="16">
        <v>0.75888754534461911</v>
      </c>
      <c r="M9" s="41">
        <v>0.78931750741839768</v>
      </c>
      <c r="N9" s="41">
        <v>0.76439089692101736</v>
      </c>
      <c r="O9" s="41">
        <v>0.75448376151236063</v>
      </c>
      <c r="P9" s="41">
        <v>0.75413533834586466</v>
      </c>
      <c r="Q9" s="41">
        <v>0.76273115220483645</v>
      </c>
      <c r="R9" s="41">
        <v>0.72540343571056742</v>
      </c>
      <c r="S9" s="41">
        <v>0.75830441249380265</v>
      </c>
      <c r="T9" s="89">
        <f t="shared" si="0"/>
        <v>3.3330391018222438</v>
      </c>
      <c r="U9" s="89">
        <f t="shared" si="1"/>
        <v>0.38206509814420198</v>
      </c>
      <c r="V9" s="89">
        <f t="shared" si="2"/>
        <v>3.2900976783235225</v>
      </c>
    </row>
    <row r="10" spans="1:22" x14ac:dyDescent="0.25">
      <c r="A10" s="15" t="s">
        <v>17</v>
      </c>
      <c r="B10" s="16">
        <v>0.60160614525139666</v>
      </c>
      <c r="C10" s="16">
        <v>0.619722073757349</v>
      </c>
      <c r="D10" s="16">
        <v>0.63371513944223112</v>
      </c>
      <c r="E10" s="16">
        <v>0.60661345496009123</v>
      </c>
      <c r="F10" s="16">
        <v>0.60230149597238203</v>
      </c>
      <c r="G10" s="16">
        <v>0.5930979133226324</v>
      </c>
      <c r="H10" s="16">
        <v>0.64630488137442055</v>
      </c>
      <c r="I10" s="16">
        <v>0.60668708524757531</v>
      </c>
      <c r="J10" s="16">
        <v>0.66921241050119329</v>
      </c>
      <c r="K10" s="16">
        <v>0.6596091205211726</v>
      </c>
      <c r="L10" s="16">
        <v>0.67975609756097566</v>
      </c>
      <c r="M10" s="41">
        <v>0.70145145145145149</v>
      </c>
      <c r="N10" s="41">
        <v>0.66206216082881109</v>
      </c>
      <c r="O10" s="41">
        <v>0.6402393418100224</v>
      </c>
      <c r="P10" s="41">
        <v>0.71576609918578826</v>
      </c>
      <c r="Q10" s="41">
        <v>0.74653098982423682</v>
      </c>
      <c r="R10" s="41">
        <v>0.77152863617634937</v>
      </c>
      <c r="S10" s="41">
        <v>0.75104560844453294</v>
      </c>
      <c r="T10" s="89">
        <f t="shared" si="0"/>
        <v>8.1833197943339648</v>
      </c>
      <c r="U10" s="89">
        <f t="shared" si="1"/>
        <v>11.080626663451055</v>
      </c>
      <c r="V10" s="89">
        <f t="shared" si="2"/>
        <v>-2.0483027731816428</v>
      </c>
    </row>
    <row r="11" spans="1:22" x14ac:dyDescent="0.25">
      <c r="A11" s="15" t="s">
        <v>25</v>
      </c>
      <c r="B11" s="16">
        <v>0.80645161290322576</v>
      </c>
      <c r="C11" s="16">
        <v>0.83096366508688779</v>
      </c>
      <c r="D11" s="16">
        <v>0.91247002398081534</v>
      </c>
      <c r="E11" s="16">
        <v>0.79661016949152541</v>
      </c>
      <c r="F11" s="16">
        <v>0.77485928705440899</v>
      </c>
      <c r="G11" s="16">
        <v>0.78629032258064513</v>
      </c>
      <c r="H11" s="16">
        <v>0.73819055244195353</v>
      </c>
      <c r="I11" s="16">
        <v>0.76952526799387444</v>
      </c>
      <c r="J11" s="16">
        <v>0.7655367231638418</v>
      </c>
      <c r="K11" s="16">
        <v>0.76991150442477874</v>
      </c>
      <c r="L11" s="16">
        <v>0.76664736537347999</v>
      </c>
      <c r="M11" s="41">
        <v>0.74944320712694878</v>
      </c>
      <c r="N11" s="41">
        <v>0.76324884792626724</v>
      </c>
      <c r="O11" s="41">
        <v>0.70482246952835192</v>
      </c>
      <c r="P11" s="41">
        <v>0.78763304612265583</v>
      </c>
      <c r="Q11" s="41">
        <v>0.76116736152471709</v>
      </c>
      <c r="R11" s="41">
        <v>0.74180327868852458</v>
      </c>
      <c r="S11" s="41">
        <v>0.75058685446009388</v>
      </c>
      <c r="T11" s="89">
        <f t="shared" si="0"/>
        <v>-1.4949868703747926</v>
      </c>
      <c r="U11" s="89">
        <f t="shared" si="1"/>
        <v>4.5764384931741953</v>
      </c>
      <c r="V11" s="89">
        <f t="shared" si="2"/>
        <v>0.87835757715692964</v>
      </c>
    </row>
    <row r="12" spans="1:22" x14ac:dyDescent="0.25">
      <c r="A12" s="15" t="s">
        <v>22</v>
      </c>
      <c r="B12" s="16">
        <v>0.60083160083160081</v>
      </c>
      <c r="C12" s="16">
        <v>0.64308681672025725</v>
      </c>
      <c r="D12" s="16">
        <v>0.75276125743415467</v>
      </c>
      <c r="E12" s="16">
        <v>0.68642160540135033</v>
      </c>
      <c r="F12" s="16">
        <v>0.63138948884089274</v>
      </c>
      <c r="G12" s="16">
        <v>0.55741279069767447</v>
      </c>
      <c r="H12" s="16">
        <v>0.60384870603848706</v>
      </c>
      <c r="I12" s="16">
        <v>0.59784075573549256</v>
      </c>
      <c r="J12" s="16">
        <v>0.5961768219832736</v>
      </c>
      <c r="K12" s="16">
        <v>0.61759530791788853</v>
      </c>
      <c r="L12" s="16">
        <v>0.671609006040637</v>
      </c>
      <c r="M12" s="41">
        <v>0.68775933609958506</v>
      </c>
      <c r="N12" s="41">
        <v>0.64107883817427391</v>
      </c>
      <c r="O12" s="41">
        <v>0.59330406147091108</v>
      </c>
      <c r="P12" s="41">
        <v>0.69550930996714133</v>
      </c>
      <c r="Q12" s="41">
        <v>0.74263479710950531</v>
      </c>
      <c r="R12" s="41">
        <v>0.74234424498416052</v>
      </c>
      <c r="S12" s="41">
        <v>0.74603936629860779</v>
      </c>
      <c r="T12" s="89">
        <f t="shared" si="0"/>
        <v>14.986254431533419</v>
      </c>
      <c r="U12" s="89">
        <f t="shared" si="1"/>
        <v>15.273530482769671</v>
      </c>
      <c r="V12" s="89">
        <f t="shared" si="2"/>
        <v>0.36951213144472694</v>
      </c>
    </row>
    <row r="13" spans="1:22" x14ac:dyDescent="0.25">
      <c r="A13" s="15" t="s">
        <v>15</v>
      </c>
      <c r="B13" s="16">
        <v>0.64668769716088326</v>
      </c>
      <c r="C13" s="16">
        <v>0.75173156841619204</v>
      </c>
      <c r="D13" s="16">
        <v>0.78080510554737359</v>
      </c>
      <c r="E13" s="16">
        <v>0.71407563025210086</v>
      </c>
      <c r="F13" s="16">
        <v>0.6711953865702277</v>
      </c>
      <c r="G13" s="16">
        <v>0.69238934295722321</v>
      </c>
      <c r="H13" s="16">
        <v>0.674154852780807</v>
      </c>
      <c r="I13" s="16">
        <v>0.66149899620789654</v>
      </c>
      <c r="J13" s="16">
        <v>0.67299732164597026</v>
      </c>
      <c r="K13" s="16">
        <v>0.69964664310954061</v>
      </c>
      <c r="L13" s="16">
        <v>0.69029996104402025</v>
      </c>
      <c r="M13" s="41">
        <v>0.72184765456892841</v>
      </c>
      <c r="N13" s="41">
        <v>0.70769919427036709</v>
      </c>
      <c r="O13" s="41">
        <v>0.75462372448979587</v>
      </c>
      <c r="P13" s="41">
        <v>0.77747216764898497</v>
      </c>
      <c r="Q13" s="41">
        <v>0.7583333333333333</v>
      </c>
      <c r="R13" s="41">
        <v>0.75133235060664472</v>
      </c>
      <c r="S13" s="41">
        <v>0.7360817868652072</v>
      </c>
      <c r="T13" s="89">
        <f t="shared" si="0"/>
        <v>6.3084465219236936</v>
      </c>
      <c r="U13" s="89">
        <f t="shared" si="1"/>
        <v>-1.8541937624588667</v>
      </c>
      <c r="V13" s="89">
        <f t="shared" si="2"/>
        <v>-1.5250563741437517</v>
      </c>
    </row>
    <row r="14" spans="1:22" x14ac:dyDescent="0.25">
      <c r="A14" s="15" t="s">
        <v>23</v>
      </c>
      <c r="B14" s="16">
        <v>0.61246612466124661</v>
      </c>
      <c r="C14" s="16">
        <v>0.6354300385109114</v>
      </c>
      <c r="D14" s="16">
        <v>0.66592178770949717</v>
      </c>
      <c r="E14" s="16">
        <v>0.64830011723329428</v>
      </c>
      <c r="F14" s="16">
        <v>0.67129629629629628</v>
      </c>
      <c r="G14" s="16">
        <v>0.72921615201900236</v>
      </c>
      <c r="H14" s="16">
        <v>0.71478140180430261</v>
      </c>
      <c r="I14" s="16">
        <v>0.70997679814385151</v>
      </c>
      <c r="J14" s="16">
        <v>0.74886306215260234</v>
      </c>
      <c r="K14" s="16">
        <v>0.71277086214845553</v>
      </c>
      <c r="L14" s="16">
        <v>0.74701195219123506</v>
      </c>
      <c r="M14" s="41">
        <v>0.71458225220550076</v>
      </c>
      <c r="N14" s="41">
        <v>0.68121628249141741</v>
      </c>
      <c r="O14" s="41">
        <v>0.62110039705048214</v>
      </c>
      <c r="P14" s="41">
        <v>0.67472118959107807</v>
      </c>
      <c r="Q14" s="41">
        <v>0.72912557527942146</v>
      </c>
      <c r="R14" s="41">
        <v>0.71395348837209305</v>
      </c>
      <c r="S14" s="41">
        <v>0.72777222777222772</v>
      </c>
      <c r="T14" s="89">
        <f t="shared" si="0"/>
        <v>-2.1090834380374623</v>
      </c>
      <c r="U14" s="89">
        <f t="shared" si="1"/>
        <v>10.667183072174558</v>
      </c>
      <c r="V14" s="89">
        <f t="shared" si="2"/>
        <v>1.3818739400134672</v>
      </c>
    </row>
    <row r="15" spans="1:22" x14ac:dyDescent="0.25">
      <c r="A15" s="15" t="s">
        <v>351</v>
      </c>
      <c r="B15" s="16">
        <v>0.6</v>
      </c>
      <c r="C15" s="16">
        <v>0.62931034482758619</v>
      </c>
      <c r="D15" s="16">
        <v>0.62692307692307692</v>
      </c>
      <c r="E15" s="16">
        <v>0.64525993883792054</v>
      </c>
      <c r="F15" s="16">
        <v>0.61780104712041883</v>
      </c>
      <c r="G15" s="16">
        <v>0.67403314917127077</v>
      </c>
      <c r="H15" s="16">
        <v>0.72527472527472525</v>
      </c>
      <c r="I15" s="16">
        <v>0.70434782608695656</v>
      </c>
      <c r="J15" s="16">
        <v>0.67961165048543692</v>
      </c>
      <c r="K15" s="16">
        <v>0.7466666666666667</v>
      </c>
      <c r="L15" s="16">
        <v>0.69801980198019797</v>
      </c>
      <c r="M15" s="41">
        <v>0.69288389513108617</v>
      </c>
      <c r="N15" s="41">
        <v>0.62926829268292683</v>
      </c>
      <c r="O15" s="41">
        <v>0.56297709923664119</v>
      </c>
      <c r="P15" s="41">
        <v>0.6819787985865724</v>
      </c>
      <c r="Q15" s="41">
        <v>0.68566493955094987</v>
      </c>
      <c r="R15" s="41">
        <v>0.64495798319327735</v>
      </c>
      <c r="S15" s="41">
        <v>0.71474703982777177</v>
      </c>
      <c r="T15" s="89">
        <f t="shared" si="0"/>
        <v>3.5135389342334844</v>
      </c>
      <c r="U15" s="89">
        <f t="shared" si="1"/>
        <v>15.176994059113058</v>
      </c>
      <c r="V15" s="89">
        <f t="shared" si="2"/>
        <v>6.9789056634494422</v>
      </c>
    </row>
    <row r="16" spans="1:22" x14ac:dyDescent="0.25">
      <c r="A16" s="15" t="s">
        <v>31</v>
      </c>
      <c r="B16" s="16">
        <v>0.64739884393063585</v>
      </c>
      <c r="C16" s="16">
        <v>0.6071428571428571</v>
      </c>
      <c r="D16" s="16">
        <v>0.66379310344827591</v>
      </c>
      <c r="E16" s="16">
        <v>0.52061855670103097</v>
      </c>
      <c r="F16" s="16">
        <v>0.61433447098976113</v>
      </c>
      <c r="G16" s="16">
        <v>0.65467625899280579</v>
      </c>
      <c r="H16" s="16">
        <v>0.65548098434004476</v>
      </c>
      <c r="I16" s="16">
        <v>0.69393939393939397</v>
      </c>
      <c r="J16" s="16">
        <v>0.63942307692307687</v>
      </c>
      <c r="K16" s="16">
        <v>0.67420212765957444</v>
      </c>
      <c r="L16" s="16">
        <v>0.7474619289340102</v>
      </c>
      <c r="M16" s="41">
        <v>0.7518987341772152</v>
      </c>
      <c r="N16" s="41">
        <v>0.7766450417052827</v>
      </c>
      <c r="O16" s="41">
        <v>0.68488023952095811</v>
      </c>
      <c r="P16" s="41">
        <v>0.64066059225512528</v>
      </c>
      <c r="Q16" s="41">
        <v>0.68479184367034829</v>
      </c>
      <c r="R16" s="41">
        <v>0.68444055944055948</v>
      </c>
      <c r="S16" s="41">
        <v>0.71097046413502107</v>
      </c>
      <c r="T16" s="89">
        <f t="shared" si="0"/>
        <v>7.1547387211944198</v>
      </c>
      <c r="U16" s="89">
        <f t="shared" si="1"/>
        <v>2.6090224614062962</v>
      </c>
      <c r="V16" s="89">
        <f t="shared" si="2"/>
        <v>2.6529904694461592</v>
      </c>
    </row>
    <row r="17" spans="1:22" x14ac:dyDescent="0.25">
      <c r="A17" s="15" t="s">
        <v>50</v>
      </c>
      <c r="B17" s="41">
        <v>0.53365098272781419</v>
      </c>
      <c r="C17" s="41">
        <v>0.61011752682677567</v>
      </c>
      <c r="D17" s="41">
        <v>0.56484560570071263</v>
      </c>
      <c r="E17" s="41">
        <v>0.59722222222222221</v>
      </c>
      <c r="F17" s="41">
        <v>0.59874279727606072</v>
      </c>
      <c r="G17" s="41">
        <v>0.61260669730794481</v>
      </c>
      <c r="H17" s="41">
        <v>0.61692395654659804</v>
      </c>
      <c r="I17" s="41">
        <v>0.62918796138557642</v>
      </c>
      <c r="J17" s="41">
        <v>0.60747126436781607</v>
      </c>
      <c r="K17" s="16">
        <v>0.67560497056899937</v>
      </c>
      <c r="L17" s="16">
        <v>0.72176949941792778</v>
      </c>
      <c r="M17" s="41">
        <v>0.73580663293985382</v>
      </c>
      <c r="N17" s="41">
        <v>0.71342383107088991</v>
      </c>
      <c r="O17" s="41">
        <v>0.66999500748876684</v>
      </c>
      <c r="P17" s="41">
        <v>0.61991777067153953</v>
      </c>
      <c r="Q17" s="41">
        <v>0.68680297397769519</v>
      </c>
      <c r="R17" s="41">
        <v>0.69033000767459707</v>
      </c>
      <c r="S17" s="41">
        <v>0.7068965517241379</v>
      </c>
      <c r="T17" s="89">
        <f t="shared" si="0"/>
        <v>9.9425287356321839</v>
      </c>
      <c r="U17" s="89">
        <f t="shared" si="1"/>
        <v>3.6901544235371064</v>
      </c>
      <c r="V17" s="89">
        <f t="shared" si="2"/>
        <v>1.6566544049540832</v>
      </c>
    </row>
    <row r="18" spans="1:22" x14ac:dyDescent="0.25">
      <c r="A18" s="15" t="s">
        <v>348</v>
      </c>
      <c r="B18" s="16">
        <v>0.60683760683760679</v>
      </c>
      <c r="C18" s="16">
        <v>0.6223776223776224</v>
      </c>
      <c r="D18" s="16">
        <v>0.57499999999999996</v>
      </c>
      <c r="E18" s="16">
        <v>0.38578680203045684</v>
      </c>
      <c r="F18" s="16">
        <v>0.4264705882352941</v>
      </c>
      <c r="G18" s="16">
        <v>0.48858447488584472</v>
      </c>
      <c r="H18" s="16">
        <v>0.50354609929078009</v>
      </c>
      <c r="I18" s="16">
        <v>0.4351145038167939</v>
      </c>
      <c r="J18" s="16">
        <v>0.48360655737704916</v>
      </c>
      <c r="K18" s="16">
        <v>0.38805970149253732</v>
      </c>
      <c r="L18" s="16">
        <v>0.18421052631578946</v>
      </c>
      <c r="M18" s="41" t="s">
        <v>62</v>
      </c>
      <c r="N18" s="41" t="s">
        <v>62</v>
      </c>
      <c r="O18" s="41" t="s">
        <v>62</v>
      </c>
      <c r="P18" s="16">
        <v>0.578125</v>
      </c>
      <c r="Q18" s="41">
        <v>0.61290322580645162</v>
      </c>
      <c r="R18" s="41">
        <v>0.72304199772985245</v>
      </c>
      <c r="S18" s="41">
        <v>0.70620437956204385</v>
      </c>
      <c r="T18" s="89">
        <f t="shared" si="0"/>
        <v>22.259782218499467</v>
      </c>
      <c r="U18" s="41" t="s">
        <v>62</v>
      </c>
      <c r="V18" s="89">
        <f t="shared" si="2"/>
        <v>-1.6837618167808599</v>
      </c>
    </row>
    <row r="19" spans="1:22" x14ac:dyDescent="0.25">
      <c r="A19" s="15" t="s">
        <v>222</v>
      </c>
      <c r="B19" s="16" t="s">
        <v>62</v>
      </c>
      <c r="C19" s="16" t="s">
        <v>62</v>
      </c>
      <c r="D19" s="16" t="s">
        <v>62</v>
      </c>
      <c r="E19" s="16" t="s">
        <v>62</v>
      </c>
      <c r="F19" s="16" t="s">
        <v>62</v>
      </c>
      <c r="G19" s="16" t="s">
        <v>62</v>
      </c>
      <c r="H19" s="16" t="s">
        <v>62</v>
      </c>
      <c r="I19" s="16" t="s">
        <v>62</v>
      </c>
      <c r="J19" s="16" t="s">
        <v>62</v>
      </c>
      <c r="K19" s="16">
        <v>0.68918918918918914</v>
      </c>
      <c r="L19" s="16">
        <v>0.75555555555555554</v>
      </c>
      <c r="M19" s="41">
        <v>0.75</v>
      </c>
      <c r="N19" s="41">
        <v>0.66206896551724137</v>
      </c>
      <c r="O19" s="41">
        <v>0.72492836676217765</v>
      </c>
      <c r="P19" s="41">
        <v>0.77926829268292686</v>
      </c>
      <c r="Q19" s="41">
        <v>0.74307862679955705</v>
      </c>
      <c r="R19" s="41">
        <v>0.7189952904238619</v>
      </c>
      <c r="S19" s="41">
        <v>0.69324758842443734</v>
      </c>
      <c r="T19" s="41" t="s">
        <v>62</v>
      </c>
      <c r="U19" s="89">
        <f t="shared" ref="U19:U26" si="3">(S19-O19)*100</f>
        <v>-3.1680778337740301</v>
      </c>
      <c r="V19" s="89">
        <f t="shared" si="2"/>
        <v>-2.5747701999424555</v>
      </c>
    </row>
    <row r="20" spans="1:22" x14ac:dyDescent="0.25">
      <c r="A20" s="15" t="s">
        <v>18</v>
      </c>
      <c r="B20" s="16">
        <v>0.57752923233350284</v>
      </c>
      <c r="C20" s="16">
        <v>0.58772293654085439</v>
      </c>
      <c r="D20" s="16">
        <v>0.61601796407185627</v>
      </c>
      <c r="E20" s="16">
        <v>0.61632390745501286</v>
      </c>
      <c r="F20" s="16">
        <v>0.60184010152284262</v>
      </c>
      <c r="G20" s="16">
        <v>0.63661202185792354</v>
      </c>
      <c r="H20" s="16">
        <v>0.66951871657754014</v>
      </c>
      <c r="I20" s="16">
        <v>0.65631330182309255</v>
      </c>
      <c r="J20" s="16">
        <v>0.64798050139275765</v>
      </c>
      <c r="K20" s="16">
        <v>0.64776951672862448</v>
      </c>
      <c r="L20" s="16">
        <v>0.69335705812574144</v>
      </c>
      <c r="M20" s="41">
        <v>0.68809523809523809</v>
      </c>
      <c r="N20" s="41">
        <v>0.64427625354777673</v>
      </c>
      <c r="O20" s="41">
        <v>0.51899570531879746</v>
      </c>
      <c r="P20" s="41">
        <v>0.61447166921898932</v>
      </c>
      <c r="Q20" s="41">
        <v>0.67458603311735066</v>
      </c>
      <c r="R20" s="41">
        <v>0.69146482122260666</v>
      </c>
      <c r="S20" s="41">
        <v>0.68724385245901642</v>
      </c>
      <c r="T20" s="89">
        <f t="shared" ref="T20:T26" si="4">(S20-J20)*100</f>
        <v>3.9263351066258778</v>
      </c>
      <c r="U20" s="89">
        <f t="shared" si="3"/>
        <v>16.824814714021898</v>
      </c>
      <c r="V20" s="89">
        <f t="shared" si="2"/>
        <v>-0.42209687635902382</v>
      </c>
    </row>
    <row r="21" spans="1:22" x14ac:dyDescent="0.25">
      <c r="A21" s="15" t="s">
        <v>112</v>
      </c>
      <c r="B21" s="16">
        <v>0.57494866529774125</v>
      </c>
      <c r="C21" s="16">
        <v>0.53125</v>
      </c>
      <c r="D21" s="16">
        <v>0.58148148148148149</v>
      </c>
      <c r="E21" s="16">
        <v>0.61010362694300513</v>
      </c>
      <c r="F21" s="16">
        <v>0.58068614993646761</v>
      </c>
      <c r="G21" s="16">
        <v>0.58192771084337347</v>
      </c>
      <c r="H21" s="16">
        <v>0.60149572649572647</v>
      </c>
      <c r="I21" s="16">
        <v>0.45209302325581396</v>
      </c>
      <c r="J21" s="16">
        <v>0.67784431137724555</v>
      </c>
      <c r="K21" s="16">
        <v>0.67725409836065575</v>
      </c>
      <c r="L21" s="16">
        <v>0.71046600458365161</v>
      </c>
      <c r="M21" s="41">
        <v>0.70099009900990095</v>
      </c>
      <c r="N21" s="41">
        <v>0.66529411764705881</v>
      </c>
      <c r="O21" s="41">
        <v>0.66773367477592827</v>
      </c>
      <c r="P21" s="41">
        <v>0.63729977116704806</v>
      </c>
      <c r="Q21" s="41">
        <v>0.67489204194941399</v>
      </c>
      <c r="R21" s="41">
        <v>0.67800103039670268</v>
      </c>
      <c r="S21" s="41">
        <v>0.68111455108359131</v>
      </c>
      <c r="T21" s="89">
        <f t="shared" si="4"/>
        <v>0.32702397063457678</v>
      </c>
      <c r="U21" s="89">
        <f t="shared" si="3"/>
        <v>1.3380876307663048</v>
      </c>
      <c r="V21" s="89">
        <f t="shared" si="2"/>
        <v>0.31135206868886378</v>
      </c>
    </row>
    <row r="22" spans="1:22" x14ac:dyDescent="0.25">
      <c r="A22" s="15" t="s">
        <v>16</v>
      </c>
      <c r="B22" s="16">
        <v>0.54692653673163416</v>
      </c>
      <c r="C22" s="16">
        <v>0.58015267175572516</v>
      </c>
      <c r="D22" s="16">
        <v>0.64970788704965921</v>
      </c>
      <c r="E22" s="16">
        <v>0.60157194679564696</v>
      </c>
      <c r="F22" s="16">
        <v>0.59289986494308311</v>
      </c>
      <c r="G22" s="16">
        <v>0.6194200686760778</v>
      </c>
      <c r="H22" s="16">
        <v>0.6445627898986428</v>
      </c>
      <c r="I22" s="16">
        <v>0.63984425697598957</v>
      </c>
      <c r="J22" s="16">
        <v>0.66715855058206264</v>
      </c>
      <c r="K22" s="16">
        <v>0.67246780368952319</v>
      </c>
      <c r="L22" s="16">
        <v>0.70612668743509865</v>
      </c>
      <c r="M22" s="41">
        <v>0.70639960918417199</v>
      </c>
      <c r="N22" s="41">
        <v>0.676056338028169</v>
      </c>
      <c r="O22" s="41">
        <v>0.67977970102281671</v>
      </c>
      <c r="P22" s="41">
        <v>0.65687935253152641</v>
      </c>
      <c r="Q22" s="41">
        <v>0.69753886010362698</v>
      </c>
      <c r="R22" s="41">
        <v>0.67372134038800702</v>
      </c>
      <c r="S22" s="41">
        <v>0.67163907585955973</v>
      </c>
      <c r="T22" s="89">
        <f t="shared" si="4"/>
        <v>0.44805252774970938</v>
      </c>
      <c r="U22" s="89">
        <f t="shared" si="3"/>
        <v>-0.81406251632569759</v>
      </c>
      <c r="V22" s="89">
        <f t="shared" si="2"/>
        <v>-0.20822645284472863</v>
      </c>
    </row>
    <row r="23" spans="1:22" x14ac:dyDescent="0.25">
      <c r="A23" s="15" t="s">
        <v>21</v>
      </c>
      <c r="B23" s="16">
        <v>0.63247863247863245</v>
      </c>
      <c r="C23" s="16">
        <v>0.61597374179431075</v>
      </c>
      <c r="D23" s="16">
        <v>0.66598778004073322</v>
      </c>
      <c r="E23" s="16">
        <v>0.67730173199635368</v>
      </c>
      <c r="F23" s="16">
        <v>0.66165951359084407</v>
      </c>
      <c r="G23" s="16">
        <v>0.60513532269257464</v>
      </c>
      <c r="H23" s="16">
        <v>0.63208616780045357</v>
      </c>
      <c r="I23" s="16">
        <v>0.6359423274974253</v>
      </c>
      <c r="J23" s="16">
        <v>0.61207645525629883</v>
      </c>
      <c r="K23" s="16">
        <v>0.62527716186252769</v>
      </c>
      <c r="L23" s="16">
        <v>0.65219298245614032</v>
      </c>
      <c r="M23" s="41">
        <v>0.69458631256384062</v>
      </c>
      <c r="N23" s="41">
        <v>0.64370437956204385</v>
      </c>
      <c r="O23" s="41">
        <v>0.56705539358600587</v>
      </c>
      <c r="P23" s="41">
        <v>0.61410579345088157</v>
      </c>
      <c r="Q23" s="41">
        <v>0.6750833730347785</v>
      </c>
      <c r="R23" s="41">
        <v>0.68060533651931499</v>
      </c>
      <c r="S23" s="41">
        <v>0.66535433070866146</v>
      </c>
      <c r="T23" s="89">
        <f t="shared" si="4"/>
        <v>5.3277875452362622</v>
      </c>
      <c r="U23" s="89">
        <f t="shared" si="3"/>
        <v>9.8298937122655587</v>
      </c>
      <c r="V23" s="89">
        <f t="shared" si="2"/>
        <v>-1.5251005810653528</v>
      </c>
    </row>
    <row r="24" spans="1:22" x14ac:dyDescent="0.25">
      <c r="A24" s="15" t="s">
        <v>26</v>
      </c>
      <c r="B24" s="16">
        <v>0.58660508083140872</v>
      </c>
      <c r="C24" s="16">
        <v>0.66531165311653118</v>
      </c>
      <c r="D24" s="16">
        <v>0.76890308839190624</v>
      </c>
      <c r="E24" s="16">
        <v>0.6601441812564367</v>
      </c>
      <c r="F24" s="16">
        <v>0.67525298988040483</v>
      </c>
      <c r="G24" s="16">
        <v>0.71155682903533901</v>
      </c>
      <c r="H24" s="16">
        <v>0.64152791380999019</v>
      </c>
      <c r="I24" s="16">
        <v>0.73116089613034618</v>
      </c>
      <c r="J24" s="16">
        <v>0.69296013570822734</v>
      </c>
      <c r="K24" s="16">
        <v>0.68822674418604646</v>
      </c>
      <c r="L24" s="16">
        <v>0.68902821316614415</v>
      </c>
      <c r="M24" s="41">
        <v>0.69585253456221197</v>
      </c>
      <c r="N24" s="41">
        <v>0.65733113673805599</v>
      </c>
      <c r="O24" s="41">
        <v>0.59249676584734801</v>
      </c>
      <c r="P24" s="41">
        <v>0.6391106043329533</v>
      </c>
      <c r="Q24" s="41">
        <v>0.69850552306692659</v>
      </c>
      <c r="R24" s="41">
        <v>0.66490066225165567</v>
      </c>
      <c r="S24" s="41">
        <v>0.66470203012442697</v>
      </c>
      <c r="T24" s="89">
        <f t="shared" si="4"/>
        <v>-2.8258105583800375</v>
      </c>
      <c r="U24" s="89">
        <f t="shared" si="3"/>
        <v>7.2205264277078962</v>
      </c>
      <c r="V24" s="89">
        <f t="shared" si="2"/>
        <v>-1.9863212722870394E-2</v>
      </c>
    </row>
    <row r="25" spans="1:22" x14ac:dyDescent="0.25">
      <c r="A25" s="15" t="s">
        <v>24</v>
      </c>
      <c r="B25" s="16">
        <v>0.58166189111747846</v>
      </c>
      <c r="C25" s="16">
        <v>0.59786950732356858</v>
      </c>
      <c r="D25" s="16">
        <v>0.60301507537688437</v>
      </c>
      <c r="E25" s="16">
        <v>0.58127572016460904</v>
      </c>
      <c r="F25" s="16">
        <v>0.58529111338100104</v>
      </c>
      <c r="G25" s="16">
        <v>0.60804490177736203</v>
      </c>
      <c r="H25" s="16">
        <v>0.64458300857365547</v>
      </c>
      <c r="I25" s="16">
        <v>0.65079365079365081</v>
      </c>
      <c r="J25" s="16">
        <v>0.64935064935064934</v>
      </c>
      <c r="K25" s="16">
        <v>0.68369987063389392</v>
      </c>
      <c r="L25" s="16">
        <v>0.71513706793802145</v>
      </c>
      <c r="M25" s="41">
        <v>0.69388920616790406</v>
      </c>
      <c r="N25" s="41">
        <v>0.68202502844141066</v>
      </c>
      <c r="O25" s="41">
        <v>0.60477611940298504</v>
      </c>
      <c r="P25" s="41">
        <v>0.6332429990966576</v>
      </c>
      <c r="Q25" s="41">
        <v>0.69073405535499399</v>
      </c>
      <c r="R25" s="41">
        <v>0.65799256505576209</v>
      </c>
      <c r="S25" s="41">
        <v>0.65476190476190477</v>
      </c>
      <c r="T25" s="89">
        <f t="shared" si="4"/>
        <v>0.54112554112554223</v>
      </c>
      <c r="U25" s="89">
        <f t="shared" si="3"/>
        <v>4.9985785358919728</v>
      </c>
      <c r="V25" s="89">
        <f t="shared" si="2"/>
        <v>-0.32306602938573237</v>
      </c>
    </row>
    <row r="26" spans="1:22" x14ac:dyDescent="0.25">
      <c r="A26" s="15" t="s">
        <v>20</v>
      </c>
      <c r="B26" s="16">
        <v>0.54229432213209738</v>
      </c>
      <c r="C26" s="16">
        <v>0.55282331511839711</v>
      </c>
      <c r="D26" s="16">
        <v>0.56133828996282531</v>
      </c>
      <c r="E26" s="16">
        <v>0.54362934362934368</v>
      </c>
      <c r="F26" s="16">
        <v>0.58357558139534882</v>
      </c>
      <c r="G26" s="16">
        <v>0.59079283887468026</v>
      </c>
      <c r="H26" s="16">
        <v>0.56774916013437848</v>
      </c>
      <c r="I26" s="16">
        <v>0.59768907563025209</v>
      </c>
      <c r="J26" s="16">
        <v>0.59136047666335645</v>
      </c>
      <c r="K26" s="16">
        <v>0.57949159844894438</v>
      </c>
      <c r="L26" s="16">
        <v>0.56774697383834438</v>
      </c>
      <c r="M26" s="41">
        <v>0.58985507246376812</v>
      </c>
      <c r="N26" s="41">
        <v>0.53040540540540537</v>
      </c>
      <c r="O26" s="41">
        <v>0.55035460992907803</v>
      </c>
      <c r="P26" s="41">
        <v>0.56089108910891095</v>
      </c>
      <c r="Q26" s="41">
        <v>0.60756972111553786</v>
      </c>
      <c r="R26" s="41">
        <v>0.6111702127659574</v>
      </c>
      <c r="S26" s="41">
        <v>0.63514804202483288</v>
      </c>
      <c r="T26" s="89">
        <f t="shared" si="4"/>
        <v>4.3787565361476428</v>
      </c>
      <c r="U26" s="89">
        <f t="shared" si="3"/>
        <v>8.4793432095754859</v>
      </c>
      <c r="V26" s="89">
        <f t="shared" si="2"/>
        <v>2.3977829258875483</v>
      </c>
    </row>
    <row r="27" spans="1:22" x14ac:dyDescent="0.25">
      <c r="A27" s="5" t="s">
        <v>239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2" ht="18" x14ac:dyDescent="0.25">
      <c r="A29" s="11" t="s">
        <v>268</v>
      </c>
      <c r="B29" s="11"/>
      <c r="C29" s="11"/>
      <c r="D29" s="11"/>
      <c r="E29" s="11"/>
      <c r="F29" s="11"/>
      <c r="G29" s="1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2" ht="45" customHeight="1" x14ac:dyDescent="0.25">
      <c r="A30" s="14" t="s">
        <v>94</v>
      </c>
      <c r="B30" s="38">
        <v>2007</v>
      </c>
      <c r="C30" s="38">
        <v>2008</v>
      </c>
      <c r="D30" s="38">
        <v>2009</v>
      </c>
      <c r="E30" s="38">
        <v>2010</v>
      </c>
      <c r="F30" s="38">
        <v>2011</v>
      </c>
      <c r="G30" s="38">
        <v>2012</v>
      </c>
      <c r="H30" s="38">
        <v>2013</v>
      </c>
      <c r="I30" s="38">
        <v>2014</v>
      </c>
      <c r="J30" s="38">
        <v>2015</v>
      </c>
      <c r="K30" s="38">
        <v>2016</v>
      </c>
      <c r="L30" s="38">
        <v>2017</v>
      </c>
      <c r="M30" s="38">
        <v>2018</v>
      </c>
      <c r="N30" s="38">
        <v>2019</v>
      </c>
      <c r="O30" s="38">
        <v>2020</v>
      </c>
      <c r="P30" s="38">
        <v>2021</v>
      </c>
      <c r="Q30" s="38">
        <v>2022</v>
      </c>
      <c r="R30" s="38">
        <v>2023</v>
      </c>
      <c r="S30" s="38">
        <v>2024</v>
      </c>
      <c r="T30" s="39" t="s">
        <v>373</v>
      </c>
      <c r="U30" s="39" t="s">
        <v>374</v>
      </c>
      <c r="V30" s="39" t="s">
        <v>375</v>
      </c>
    </row>
    <row r="31" spans="1:22" x14ac:dyDescent="0.25">
      <c r="A31" s="15" t="s">
        <v>33</v>
      </c>
      <c r="B31" s="41">
        <v>0.69610091743119262</v>
      </c>
      <c r="C31" s="41">
        <v>0.65587240212663123</v>
      </c>
      <c r="D31" s="41">
        <v>0.69461410327595785</v>
      </c>
      <c r="E31" s="16">
        <v>0.72268135904499542</v>
      </c>
      <c r="F31" s="16">
        <v>0.7053849577214063</v>
      </c>
      <c r="G31" s="16">
        <v>0.70270270270270274</v>
      </c>
      <c r="H31" s="16">
        <v>0.72034671532846717</v>
      </c>
      <c r="I31" s="41">
        <v>0.75716768027801906</v>
      </c>
      <c r="J31" s="41">
        <v>0.75044404973357015</v>
      </c>
      <c r="K31" s="41">
        <v>0.75557056043214044</v>
      </c>
      <c r="L31" s="41">
        <v>0.79709267110841919</v>
      </c>
      <c r="M31" s="41">
        <v>0.81726327944572752</v>
      </c>
      <c r="N31" s="41">
        <v>0.77768838830785736</v>
      </c>
      <c r="O31" s="41">
        <v>0.68698132780082988</v>
      </c>
      <c r="P31" s="41">
        <v>0.7519013899816418</v>
      </c>
      <c r="Q31" s="41">
        <v>0.811259806183664</v>
      </c>
      <c r="R31" s="41">
        <v>0.83041530944625408</v>
      </c>
      <c r="S31" s="41">
        <v>0.8064452352708581</v>
      </c>
      <c r="T31" s="89">
        <f t="shared" ref="T31:T50" si="5">(S31-J31)*100</f>
        <v>5.6001185537287945</v>
      </c>
      <c r="U31" s="89">
        <f t="shared" ref="U31:U50" si="6">(S31-O31)*100</f>
        <v>11.946390747002821</v>
      </c>
      <c r="V31" s="89">
        <f t="shared" ref="V31:V50" si="7">(S31-R31)*100</f>
        <v>-2.3970074175395983</v>
      </c>
    </row>
    <row r="32" spans="1:22" x14ac:dyDescent="0.25">
      <c r="A32" s="15" t="s">
        <v>34</v>
      </c>
      <c r="B32" s="41">
        <v>0.58728652751423149</v>
      </c>
      <c r="C32" s="41">
        <v>0.63896848137535822</v>
      </c>
      <c r="D32" s="41">
        <v>0.63869731800766283</v>
      </c>
      <c r="E32" s="41">
        <v>0.60754583921015515</v>
      </c>
      <c r="F32" s="41">
        <v>0.59829059829059827</v>
      </c>
      <c r="G32" s="41">
        <v>0.63814180929095354</v>
      </c>
      <c r="H32" s="41">
        <v>0.66877828054298638</v>
      </c>
      <c r="I32" s="16">
        <v>0.70359281437125754</v>
      </c>
      <c r="J32" s="16">
        <v>0.71669477234401346</v>
      </c>
      <c r="K32" s="16">
        <v>0.7057886351566649</v>
      </c>
      <c r="L32" s="16">
        <v>0.72943722943722944</v>
      </c>
      <c r="M32" s="41">
        <v>0.77131474103585662</v>
      </c>
      <c r="N32" s="41">
        <v>0.72097498396407955</v>
      </c>
      <c r="O32" s="41">
        <v>0.70879842416283656</v>
      </c>
      <c r="P32" s="41">
        <v>0.69756001574183391</v>
      </c>
      <c r="Q32" s="41">
        <v>0.7638865296415831</v>
      </c>
      <c r="R32" s="41">
        <v>0.77801494130202775</v>
      </c>
      <c r="S32" s="41">
        <v>0.78793103448275859</v>
      </c>
      <c r="T32" s="89">
        <f t="shared" si="5"/>
        <v>7.1236262138745126</v>
      </c>
      <c r="U32" s="89">
        <f t="shared" si="6"/>
        <v>7.913261031992203</v>
      </c>
      <c r="V32" s="89">
        <f t="shared" si="7"/>
        <v>0.99160931807308339</v>
      </c>
    </row>
    <row r="33" spans="1:22" x14ac:dyDescent="0.25">
      <c r="A33" s="15" t="s">
        <v>327</v>
      </c>
      <c r="B33" s="16">
        <v>0.63602941176470584</v>
      </c>
      <c r="C33" s="16">
        <v>0.62724014336917566</v>
      </c>
      <c r="D33" s="16">
        <v>0.71244635193133043</v>
      </c>
      <c r="E33" s="16">
        <v>0.68181818181818177</v>
      </c>
      <c r="F33" s="16">
        <v>0.67092651757188504</v>
      </c>
      <c r="G33" s="16">
        <v>0.66576819407008081</v>
      </c>
      <c r="H33" s="16">
        <v>0.65888689407540391</v>
      </c>
      <c r="I33" s="16">
        <v>0.72450532724505323</v>
      </c>
      <c r="J33" s="16">
        <v>0.66666666666666663</v>
      </c>
      <c r="K33" s="16">
        <v>0.68688293370944997</v>
      </c>
      <c r="L33" s="16">
        <v>0.76449275362318836</v>
      </c>
      <c r="M33" s="41">
        <v>0.80836236933797911</v>
      </c>
      <c r="N33" s="41">
        <v>0.79273504273504269</v>
      </c>
      <c r="O33" s="41">
        <v>0.75298804780876494</v>
      </c>
      <c r="P33" s="41">
        <v>0.75414012738853509</v>
      </c>
      <c r="Q33" s="41">
        <v>0.7980162308385933</v>
      </c>
      <c r="R33" s="41">
        <v>0.78061413244543099</v>
      </c>
      <c r="S33" s="41">
        <v>0.78084364097684744</v>
      </c>
      <c r="T33" s="89">
        <f t="shared" si="5"/>
        <v>11.41769743101808</v>
      </c>
      <c r="U33" s="89">
        <f t="shared" si="6"/>
        <v>2.7855593168082504</v>
      </c>
      <c r="V33" s="89">
        <f t="shared" si="7"/>
        <v>2.2950853141645577E-2</v>
      </c>
    </row>
    <row r="34" spans="1:22" x14ac:dyDescent="0.25">
      <c r="A34" s="15" t="s">
        <v>363</v>
      </c>
      <c r="B34" s="16">
        <v>0.69957081545064381</v>
      </c>
      <c r="C34" s="16">
        <v>0.74617737003058104</v>
      </c>
      <c r="D34" s="16">
        <v>0.74515235457063711</v>
      </c>
      <c r="E34" s="16">
        <v>0.78009259259259256</v>
      </c>
      <c r="F34" s="16">
        <v>0.74776386404293382</v>
      </c>
      <c r="G34" s="16">
        <v>0.70877659574468088</v>
      </c>
      <c r="H34" s="16">
        <v>0.73975903614457827</v>
      </c>
      <c r="I34" s="16">
        <v>0.74212993971868724</v>
      </c>
      <c r="J34" s="16">
        <v>0.73666092943201378</v>
      </c>
      <c r="K34" s="16">
        <v>0.74369406021155415</v>
      </c>
      <c r="L34" s="16">
        <v>0.77142857142857146</v>
      </c>
      <c r="M34" s="41">
        <v>0.80383609415867485</v>
      </c>
      <c r="N34" s="41">
        <v>0.79738562091503273</v>
      </c>
      <c r="O34" s="41">
        <v>0.83816013628620101</v>
      </c>
      <c r="P34" s="41">
        <v>0.79446935724962631</v>
      </c>
      <c r="Q34" s="41">
        <v>0.78980446927374304</v>
      </c>
      <c r="R34" s="41">
        <v>0.75678610206297503</v>
      </c>
      <c r="S34" s="41">
        <v>0.77629553617239611</v>
      </c>
      <c r="T34" s="89">
        <f t="shared" si="5"/>
        <v>3.9634606740382328</v>
      </c>
      <c r="U34" s="89">
        <f t="shared" si="6"/>
        <v>-6.1864600113804897</v>
      </c>
      <c r="V34" s="89">
        <f t="shared" si="7"/>
        <v>1.9509434109421075</v>
      </c>
    </row>
    <row r="35" spans="1:22" x14ac:dyDescent="0.25">
      <c r="A35" s="15" t="s">
        <v>328</v>
      </c>
      <c r="B35" s="16">
        <v>0.58823529411764708</v>
      </c>
      <c r="C35" s="16">
        <v>0.5662650602409639</v>
      </c>
      <c r="D35" s="16">
        <v>0.78260869565217395</v>
      </c>
      <c r="E35" s="16">
        <v>0.77586206896551724</v>
      </c>
      <c r="F35" s="16">
        <v>0.79032258064516125</v>
      </c>
      <c r="G35" s="16">
        <v>0.72380952380952379</v>
      </c>
      <c r="H35" s="16">
        <v>0.74846625766871167</v>
      </c>
      <c r="I35" s="16">
        <v>0.70348837209302328</v>
      </c>
      <c r="J35" s="16">
        <v>0.71264367816091956</v>
      </c>
      <c r="K35" s="16">
        <v>0.7231638418079096</v>
      </c>
      <c r="L35" s="16">
        <v>0.75</v>
      </c>
      <c r="M35" s="41">
        <v>0.83601286173633438</v>
      </c>
      <c r="N35" s="41">
        <v>0.83160621761658027</v>
      </c>
      <c r="O35" s="41">
        <v>0.77076023391812865</v>
      </c>
      <c r="P35" s="41">
        <v>0.73050095117311353</v>
      </c>
      <c r="Q35" s="41">
        <v>0.7476139978791092</v>
      </c>
      <c r="R35" s="41">
        <v>0.78536585365853662</v>
      </c>
      <c r="S35" s="41">
        <v>0.77390090718771809</v>
      </c>
      <c r="T35" s="89">
        <f t="shared" si="5"/>
        <v>6.1257229026798532</v>
      </c>
      <c r="U35" s="89">
        <f t="shared" si="6"/>
        <v>0.31406732695894446</v>
      </c>
      <c r="V35" s="89">
        <f t="shared" si="7"/>
        <v>-1.1464946470818527</v>
      </c>
    </row>
    <row r="36" spans="1:22" x14ac:dyDescent="0.25">
      <c r="A36" s="15" t="s">
        <v>30</v>
      </c>
      <c r="B36" s="16">
        <v>0.56411274315204452</v>
      </c>
      <c r="C36" s="16">
        <v>0.61835748792270528</v>
      </c>
      <c r="D36" s="16">
        <v>0.59216909216909219</v>
      </c>
      <c r="E36" s="16">
        <v>0.61222939612609195</v>
      </c>
      <c r="F36" s="16">
        <v>0.61402877697841729</v>
      </c>
      <c r="G36" s="16">
        <v>0.66169772256728776</v>
      </c>
      <c r="H36" s="16">
        <v>0.68669676971170546</v>
      </c>
      <c r="I36" s="16">
        <v>0.69594067135050741</v>
      </c>
      <c r="J36" s="16">
        <v>0.72518747243052495</v>
      </c>
      <c r="K36" s="16">
        <v>0.71353746978243349</v>
      </c>
      <c r="L36" s="16">
        <v>0.72633319553534514</v>
      </c>
      <c r="M36" s="41">
        <v>0.75852170792967344</v>
      </c>
      <c r="N36" s="41">
        <v>0.73652494141278879</v>
      </c>
      <c r="O36" s="41">
        <v>0.75902777777777775</v>
      </c>
      <c r="P36" s="41">
        <v>0.72918601052305787</v>
      </c>
      <c r="Q36" s="41">
        <v>0.74769992922859163</v>
      </c>
      <c r="R36" s="41">
        <v>0.748133061778683</v>
      </c>
      <c r="S36" s="41">
        <v>0.76377699000966803</v>
      </c>
      <c r="T36" s="89">
        <f t="shared" si="5"/>
        <v>3.8589517579143084</v>
      </c>
      <c r="U36" s="89">
        <f t="shared" si="6"/>
        <v>0.47492122318902874</v>
      </c>
      <c r="V36" s="89">
        <f t="shared" si="7"/>
        <v>1.5643928230985038</v>
      </c>
    </row>
    <row r="37" spans="1:22" x14ac:dyDescent="0.25">
      <c r="A37" s="15" t="s">
        <v>29</v>
      </c>
      <c r="B37" s="16">
        <v>0.61235154394299285</v>
      </c>
      <c r="C37" s="16">
        <v>0.60540970564836916</v>
      </c>
      <c r="D37" s="16">
        <v>0.64888248017303529</v>
      </c>
      <c r="E37" s="16">
        <v>0.61643835616438358</v>
      </c>
      <c r="F37" s="16">
        <v>0.60374365482233505</v>
      </c>
      <c r="G37" s="16">
        <v>0.60878661087866104</v>
      </c>
      <c r="H37" s="16">
        <v>0.64431654676258998</v>
      </c>
      <c r="I37" s="16">
        <v>0.6541850220264317</v>
      </c>
      <c r="J37" s="16">
        <v>0.60129659643435984</v>
      </c>
      <c r="K37" s="16">
        <v>0.63483735571878275</v>
      </c>
      <c r="L37" s="16">
        <v>0.62985179957657023</v>
      </c>
      <c r="M37" s="41">
        <v>0.74378777703156485</v>
      </c>
      <c r="N37" s="41">
        <v>0.72292870905587669</v>
      </c>
      <c r="O37" s="41">
        <v>0.7500851208716377</v>
      </c>
      <c r="P37" s="41">
        <v>0.73003618817852833</v>
      </c>
      <c r="Q37" s="41">
        <v>0.74480642115203022</v>
      </c>
      <c r="R37" s="41">
        <v>0.72564338235294112</v>
      </c>
      <c r="S37" s="41">
        <v>0.75432610285157198</v>
      </c>
      <c r="T37" s="89">
        <f t="shared" si="5"/>
        <v>15.302950641721214</v>
      </c>
      <c r="U37" s="89">
        <f t="shared" si="6"/>
        <v>0.42409819799342774</v>
      </c>
      <c r="V37" s="89">
        <f t="shared" si="7"/>
        <v>2.8682720498630854</v>
      </c>
    </row>
    <row r="38" spans="1:22" x14ac:dyDescent="0.25">
      <c r="A38" s="15" t="s">
        <v>377</v>
      </c>
      <c r="B38" s="16">
        <v>0.6295050456511293</v>
      </c>
      <c r="C38" s="16">
        <v>0.64088138771683079</v>
      </c>
      <c r="D38" s="16">
        <v>0.66925536774783001</v>
      </c>
      <c r="E38" s="16">
        <v>0.64150943396226412</v>
      </c>
      <c r="F38" s="16">
        <v>0.62386302835741037</v>
      </c>
      <c r="G38" s="16">
        <v>0.65962582981291495</v>
      </c>
      <c r="H38" s="16">
        <v>0.62982273201251304</v>
      </c>
      <c r="I38" s="16">
        <v>0.66043249561659845</v>
      </c>
      <c r="J38" s="16">
        <v>0.71646341463414631</v>
      </c>
      <c r="K38" s="16">
        <v>0.74851876234364711</v>
      </c>
      <c r="L38" s="16">
        <v>0.75067750677506773</v>
      </c>
      <c r="M38" s="41">
        <v>0.74173806609547122</v>
      </c>
      <c r="N38" s="41">
        <v>0.73520561685055164</v>
      </c>
      <c r="O38" s="41">
        <v>0.72136222910216719</v>
      </c>
      <c r="P38" s="41">
        <v>0.74276094276094273</v>
      </c>
      <c r="Q38" s="41">
        <v>0.78911095796002761</v>
      </c>
      <c r="R38" s="41">
        <v>0.79459178367134686</v>
      </c>
      <c r="S38" s="41">
        <v>0.73715203426124198</v>
      </c>
      <c r="T38" s="89">
        <f t="shared" si="5"/>
        <v>2.0688619627095672</v>
      </c>
      <c r="U38" s="89">
        <f t="shared" si="6"/>
        <v>1.5789805159074799</v>
      </c>
      <c r="V38" s="89">
        <f t="shared" si="7"/>
        <v>-5.7439749410104879</v>
      </c>
    </row>
    <row r="39" spans="1:22" x14ac:dyDescent="0.25">
      <c r="A39" s="15" t="s">
        <v>15</v>
      </c>
      <c r="B39" s="16">
        <v>0.68808685446009388</v>
      </c>
      <c r="C39" s="16">
        <v>0.72272228320526899</v>
      </c>
      <c r="D39" s="16">
        <v>0.69610723466764601</v>
      </c>
      <c r="E39" s="16">
        <v>0.70779388917659247</v>
      </c>
      <c r="F39" s="16">
        <v>0.69428387925497748</v>
      </c>
      <c r="G39" s="16">
        <v>0.67101007300619164</v>
      </c>
      <c r="H39" s="16">
        <v>0.71276381909547737</v>
      </c>
      <c r="I39" s="16">
        <v>0.72511800743195742</v>
      </c>
      <c r="J39" s="16">
        <v>0.7291870714985309</v>
      </c>
      <c r="K39" s="16">
        <v>0.71119766309639731</v>
      </c>
      <c r="L39" s="16">
        <v>0.73056886851427383</v>
      </c>
      <c r="M39" s="41">
        <v>0.72830578512396693</v>
      </c>
      <c r="N39" s="41">
        <v>0.70701281186783549</v>
      </c>
      <c r="O39" s="41">
        <v>0.69516353074883197</v>
      </c>
      <c r="P39" s="41">
        <v>0.71852069269151742</v>
      </c>
      <c r="Q39" s="41">
        <v>0.7142857142857143</v>
      </c>
      <c r="R39" s="41">
        <v>0.72008186852877443</v>
      </c>
      <c r="S39" s="41">
        <v>0.72930334270540453</v>
      </c>
      <c r="T39" s="89">
        <f t="shared" si="5"/>
        <v>1.1627120687363046E-2</v>
      </c>
      <c r="U39" s="89">
        <f t="shared" si="6"/>
        <v>3.4139811956572563</v>
      </c>
      <c r="V39" s="89">
        <f t="shared" si="7"/>
        <v>0.92214741766301067</v>
      </c>
    </row>
    <row r="40" spans="1:22" x14ac:dyDescent="0.25">
      <c r="A40" s="15" t="s">
        <v>314</v>
      </c>
      <c r="B40" s="16">
        <v>0.43373493975903615</v>
      </c>
      <c r="C40" s="16">
        <v>0.53846153846153844</v>
      </c>
      <c r="D40" s="16">
        <v>0.51086956521739135</v>
      </c>
      <c r="E40" s="16">
        <v>0.54545454545454541</v>
      </c>
      <c r="F40" s="16">
        <v>0.59130434782608698</v>
      </c>
      <c r="G40" s="16">
        <v>0.58851674641148322</v>
      </c>
      <c r="H40" s="16">
        <v>0.50417827298050144</v>
      </c>
      <c r="I40" s="16">
        <v>0.60074626865671643</v>
      </c>
      <c r="J40" s="16">
        <v>0.53252032520325199</v>
      </c>
      <c r="K40" s="16">
        <v>0.57045454545454544</v>
      </c>
      <c r="L40" s="16">
        <v>0.57113402061855667</v>
      </c>
      <c r="M40" s="41">
        <v>0.54829123328380391</v>
      </c>
      <c r="N40" s="41">
        <v>0.55244755244755239</v>
      </c>
      <c r="O40" s="41">
        <v>0.62957074721780604</v>
      </c>
      <c r="P40" s="41">
        <v>0.66522210184182018</v>
      </c>
      <c r="Q40" s="41">
        <v>0.73046432616081536</v>
      </c>
      <c r="R40" s="41">
        <v>0.68094774423888349</v>
      </c>
      <c r="S40" s="41">
        <v>0.71629718394248054</v>
      </c>
      <c r="T40" s="89">
        <f t="shared" si="5"/>
        <v>18.377685873922857</v>
      </c>
      <c r="U40" s="89">
        <f t="shared" si="6"/>
        <v>8.6726436724674514</v>
      </c>
      <c r="V40" s="89">
        <f t="shared" si="7"/>
        <v>3.5349439703597052</v>
      </c>
    </row>
    <row r="41" spans="1:22" x14ac:dyDescent="0.25">
      <c r="A41" s="15" t="s">
        <v>28</v>
      </c>
      <c r="B41" s="16">
        <v>0.52021432050657579</v>
      </c>
      <c r="C41" s="16">
        <v>0.61448598130841126</v>
      </c>
      <c r="D41" s="16">
        <v>0.58105198400492153</v>
      </c>
      <c r="E41" s="16">
        <v>0.57644882860665847</v>
      </c>
      <c r="F41" s="16">
        <v>0.60477595921652805</v>
      </c>
      <c r="G41" s="16">
        <v>0.64413145539906103</v>
      </c>
      <c r="H41" s="16">
        <v>0.63402597402597405</v>
      </c>
      <c r="I41" s="16">
        <v>0.6706223628691983</v>
      </c>
      <c r="J41" s="16">
        <v>0.66392177045805456</v>
      </c>
      <c r="K41" s="16">
        <v>0.65458811261730965</v>
      </c>
      <c r="L41" s="16">
        <v>0.65983295368261197</v>
      </c>
      <c r="M41" s="41">
        <v>0.69871360866621535</v>
      </c>
      <c r="N41" s="41">
        <v>0.68684267010088007</v>
      </c>
      <c r="O41" s="41">
        <v>0.71142236174836992</v>
      </c>
      <c r="P41" s="41">
        <v>0.68568207440811724</v>
      </c>
      <c r="Q41" s="41">
        <v>0.70169082125603865</v>
      </c>
      <c r="R41" s="41">
        <v>0.71156025689459768</v>
      </c>
      <c r="S41" s="41">
        <v>0.71322094055013308</v>
      </c>
      <c r="T41" s="89">
        <f t="shared" si="5"/>
        <v>4.9299170092078519</v>
      </c>
      <c r="U41" s="89">
        <f t="shared" si="6"/>
        <v>0.1798578801763151</v>
      </c>
      <c r="V41" s="89">
        <f t="shared" si="7"/>
        <v>0.16606836555353999</v>
      </c>
    </row>
    <row r="42" spans="1:22" x14ac:dyDescent="0.25">
      <c r="A42" s="15" t="s">
        <v>18</v>
      </c>
      <c r="B42" s="16">
        <v>0.60296846011131722</v>
      </c>
      <c r="C42" s="16">
        <v>0.63734290843806107</v>
      </c>
      <c r="D42" s="16">
        <v>0.65555555555555556</v>
      </c>
      <c r="E42" s="16">
        <v>0.67200000000000004</v>
      </c>
      <c r="F42" s="16">
        <v>0.63039820527201351</v>
      </c>
      <c r="G42" s="16">
        <v>0.63551401869158874</v>
      </c>
      <c r="H42" s="16">
        <v>0.66624257845631896</v>
      </c>
      <c r="I42" s="16">
        <v>0.69472963723477066</v>
      </c>
      <c r="J42" s="16">
        <v>0.6899696048632219</v>
      </c>
      <c r="K42" s="16">
        <v>0.68276972624798715</v>
      </c>
      <c r="L42" s="16">
        <v>0.73096774193548386</v>
      </c>
      <c r="M42" s="16">
        <v>0.70665287831782142</v>
      </c>
      <c r="N42" s="16">
        <v>0.6676524953789279</v>
      </c>
      <c r="O42" s="16">
        <v>0.55859030837004409</v>
      </c>
      <c r="P42" s="16">
        <v>0.64956011730205276</v>
      </c>
      <c r="Q42" s="16">
        <v>0.72472924187725629</v>
      </c>
      <c r="R42" s="16">
        <v>0.69672479795831566</v>
      </c>
      <c r="S42" s="16">
        <v>0.70860314523589274</v>
      </c>
      <c r="T42" s="89">
        <f t="shared" si="5"/>
        <v>1.8633540372670843</v>
      </c>
      <c r="U42" s="89">
        <f t="shared" si="6"/>
        <v>15.001283686584866</v>
      </c>
      <c r="V42" s="89">
        <f t="shared" si="7"/>
        <v>1.1878347277577084</v>
      </c>
    </row>
    <row r="43" spans="1:22" x14ac:dyDescent="0.25">
      <c r="A43" s="15" t="s">
        <v>21</v>
      </c>
      <c r="B43" s="16">
        <v>0.59705159705159705</v>
      </c>
      <c r="C43" s="16">
        <v>0.61776061776061775</v>
      </c>
      <c r="D43" s="16">
        <v>0.64150943396226412</v>
      </c>
      <c r="E43" s="16">
        <v>0.625</v>
      </c>
      <c r="F43" s="16">
        <v>0.59672131147540985</v>
      </c>
      <c r="G43" s="16">
        <v>0.57311320754716977</v>
      </c>
      <c r="H43" s="16">
        <v>0.62518301610541727</v>
      </c>
      <c r="I43" s="16">
        <v>0.65330932012606935</v>
      </c>
      <c r="J43" s="16">
        <v>0.67511111111111111</v>
      </c>
      <c r="K43" s="16">
        <v>0.64878671775223495</v>
      </c>
      <c r="L43" s="16">
        <v>0.7179039301310044</v>
      </c>
      <c r="M43" s="41">
        <v>0.68600087221979944</v>
      </c>
      <c r="N43" s="41">
        <v>0.63807890222984565</v>
      </c>
      <c r="O43" s="41">
        <v>0.59090909090909094</v>
      </c>
      <c r="P43" s="41">
        <v>0.61849710982658956</v>
      </c>
      <c r="Q43" s="41">
        <v>0.67902240325865582</v>
      </c>
      <c r="R43" s="41">
        <v>0.69128719971315888</v>
      </c>
      <c r="S43" s="41">
        <v>0.70564367392106231</v>
      </c>
      <c r="T43" s="89">
        <f t="shared" si="5"/>
        <v>3.0532562809951203</v>
      </c>
      <c r="U43" s="89">
        <f t="shared" si="6"/>
        <v>11.473458301197137</v>
      </c>
      <c r="V43" s="89">
        <f t="shared" si="7"/>
        <v>1.4356474207903425</v>
      </c>
    </row>
    <row r="44" spans="1:22" x14ac:dyDescent="0.25">
      <c r="A44" s="15" t="s">
        <v>36</v>
      </c>
      <c r="B44" s="16">
        <v>0.58856345885634587</v>
      </c>
      <c r="C44" s="16">
        <v>0.59203444564047358</v>
      </c>
      <c r="D44" s="16">
        <v>0.64691943127962082</v>
      </c>
      <c r="E44" s="16">
        <v>0.62357080035180301</v>
      </c>
      <c r="F44" s="16">
        <v>0.61932287365813377</v>
      </c>
      <c r="G44" s="16">
        <v>0.66376582278481011</v>
      </c>
      <c r="H44" s="16">
        <v>0.58671789242590555</v>
      </c>
      <c r="I44" s="16">
        <v>0.64934409687184658</v>
      </c>
      <c r="J44" s="16">
        <v>0.63255813953488371</v>
      </c>
      <c r="K44" s="16">
        <v>0.64314928425357876</v>
      </c>
      <c r="L44" s="16">
        <v>0.67077839217354318</v>
      </c>
      <c r="M44" s="41">
        <v>0.67779632721201999</v>
      </c>
      <c r="N44" s="41">
        <v>0.65198430004361096</v>
      </c>
      <c r="O44" s="41">
        <v>0.64262746899402845</v>
      </c>
      <c r="P44" s="41">
        <v>0.6648351648351648</v>
      </c>
      <c r="Q44" s="41">
        <v>0.68353925866879239</v>
      </c>
      <c r="R44" s="41">
        <v>0.68040404040404046</v>
      </c>
      <c r="S44" s="41">
        <v>0.70107108081791625</v>
      </c>
      <c r="T44" s="89">
        <f t="shared" si="5"/>
        <v>6.8512941283032536</v>
      </c>
      <c r="U44" s="89">
        <f t="shared" si="6"/>
        <v>5.8443611823887798</v>
      </c>
      <c r="V44" s="89">
        <f t="shared" si="7"/>
        <v>2.0667040413875792</v>
      </c>
    </row>
    <row r="45" spans="1:22" x14ac:dyDescent="0.25">
      <c r="A45" s="15" t="s">
        <v>19</v>
      </c>
      <c r="B45" s="16">
        <v>0.65646258503401356</v>
      </c>
      <c r="C45" s="16">
        <v>0.75266903914590744</v>
      </c>
      <c r="D45" s="16">
        <v>0.7554426705370102</v>
      </c>
      <c r="E45" s="16">
        <v>0.75409836065573765</v>
      </c>
      <c r="F45" s="16">
        <v>0.72129783693843597</v>
      </c>
      <c r="G45" s="16">
        <v>0.723314606741573</v>
      </c>
      <c r="H45" s="16">
        <v>0.71150190114068446</v>
      </c>
      <c r="I45" s="16">
        <v>0.6864841745081266</v>
      </c>
      <c r="J45" s="16">
        <v>0.6953937592867756</v>
      </c>
      <c r="K45" s="16">
        <v>0.75150638708122441</v>
      </c>
      <c r="L45" s="16">
        <v>0.69172375486021109</v>
      </c>
      <c r="M45" s="41">
        <v>0.75579076545482438</v>
      </c>
      <c r="N45" s="41">
        <v>0.71690166636147223</v>
      </c>
      <c r="O45" s="41">
        <v>0.71858047016274862</v>
      </c>
      <c r="P45" s="41">
        <v>0.72355347749853882</v>
      </c>
      <c r="Q45" s="41">
        <v>0.69302056183029248</v>
      </c>
      <c r="R45" s="41">
        <v>0.70421848329675685</v>
      </c>
      <c r="S45" s="41">
        <v>0.7002305918524212</v>
      </c>
      <c r="T45" s="89">
        <f t="shared" si="5"/>
        <v>0.4836832565645599</v>
      </c>
      <c r="U45" s="89">
        <f t="shared" si="6"/>
        <v>-1.8349878310327417</v>
      </c>
      <c r="V45" s="89">
        <f t="shared" si="7"/>
        <v>-0.3987891444335645</v>
      </c>
    </row>
    <row r="46" spans="1:22" x14ac:dyDescent="0.25">
      <c r="A46" s="15" t="s">
        <v>32</v>
      </c>
      <c r="B46" s="16">
        <v>0.61453320500481234</v>
      </c>
      <c r="C46" s="16">
        <v>0.6462494451841988</v>
      </c>
      <c r="D46" s="16">
        <v>0.56456002419110973</v>
      </c>
      <c r="E46" s="16">
        <v>0.63107185869128868</v>
      </c>
      <c r="F46" s="16">
        <v>0.63367079115110614</v>
      </c>
      <c r="G46" s="16">
        <v>0.66044207317073167</v>
      </c>
      <c r="H46" s="16">
        <v>0.69094076655052261</v>
      </c>
      <c r="I46" s="16">
        <v>0.68689710610932475</v>
      </c>
      <c r="J46" s="16">
        <v>0.67665880767935327</v>
      </c>
      <c r="K46" s="16">
        <v>0.71097560975609753</v>
      </c>
      <c r="L46" s="16">
        <v>0.70573566084788031</v>
      </c>
      <c r="M46" s="41">
        <v>0.74503058103975539</v>
      </c>
      <c r="N46" s="41">
        <v>0.68441064638783267</v>
      </c>
      <c r="O46" s="41">
        <v>0.74045801526717558</v>
      </c>
      <c r="P46" s="41">
        <v>0.74955830388692579</v>
      </c>
      <c r="Q46" s="41">
        <v>0.73576705780095608</v>
      </c>
      <c r="R46" s="41">
        <v>0.71522887323943662</v>
      </c>
      <c r="S46" s="41">
        <v>0.69670631290027452</v>
      </c>
      <c r="T46" s="89">
        <f t="shared" si="5"/>
        <v>2.0047505220921247</v>
      </c>
      <c r="U46" s="89">
        <f t="shared" si="6"/>
        <v>-4.3751702366901064</v>
      </c>
      <c r="V46" s="89">
        <f t="shared" si="7"/>
        <v>-1.8522560339162109</v>
      </c>
    </row>
    <row r="47" spans="1:22" x14ac:dyDescent="0.25">
      <c r="A47" s="15" t="s">
        <v>50</v>
      </c>
      <c r="B47" s="16">
        <v>0.58491847826086951</v>
      </c>
      <c r="C47" s="16">
        <v>0.61680458306810948</v>
      </c>
      <c r="D47" s="16">
        <v>0.64679582712369599</v>
      </c>
      <c r="E47" s="16">
        <v>0.59984152139461178</v>
      </c>
      <c r="F47" s="16">
        <v>0.59417808219178081</v>
      </c>
      <c r="G47" s="16">
        <v>0.58213552361396304</v>
      </c>
      <c r="H47" s="16">
        <v>0.58362128541810643</v>
      </c>
      <c r="I47" s="16">
        <v>0.59194630872483223</v>
      </c>
      <c r="J47" s="16">
        <v>0.60141509433962259</v>
      </c>
      <c r="K47" s="16">
        <v>0.60725652450668366</v>
      </c>
      <c r="L47" s="16">
        <v>0.64741106023247619</v>
      </c>
      <c r="M47" s="41">
        <v>0.66693069306930697</v>
      </c>
      <c r="N47" s="41">
        <v>0.62264150943396224</v>
      </c>
      <c r="O47" s="41">
        <v>0.61154144074360961</v>
      </c>
      <c r="P47" s="41">
        <v>0.63419051068453458</v>
      </c>
      <c r="Q47" s="41">
        <v>0.66536614645858339</v>
      </c>
      <c r="R47" s="41">
        <v>0.6911925601750547</v>
      </c>
      <c r="S47" s="41">
        <v>0.69327354260089691</v>
      </c>
      <c r="T47" s="89">
        <f t="shared" si="5"/>
        <v>9.1858448261274326</v>
      </c>
      <c r="U47" s="89">
        <f t="shared" si="6"/>
        <v>8.1732101857287294</v>
      </c>
      <c r="V47" s="89">
        <f t="shared" si="7"/>
        <v>0.20809824258422038</v>
      </c>
    </row>
    <row r="48" spans="1:22" x14ac:dyDescent="0.25">
      <c r="A48" s="15" t="s">
        <v>112</v>
      </c>
      <c r="B48" s="16">
        <v>0.79245283018867929</v>
      </c>
      <c r="C48" s="16">
        <v>0.48717948717948717</v>
      </c>
      <c r="D48" s="16">
        <v>0.47887323943661969</v>
      </c>
      <c r="E48" s="16">
        <v>0.58860759493670889</v>
      </c>
      <c r="F48" s="16">
        <v>0.6634146341463415</v>
      </c>
      <c r="G48" s="16">
        <v>0.72727272727272729</v>
      </c>
      <c r="H48" s="16">
        <v>0.65201465201465203</v>
      </c>
      <c r="I48" s="16">
        <v>0.69982238010657194</v>
      </c>
      <c r="J48" s="16">
        <v>0.64616840113528851</v>
      </c>
      <c r="K48" s="16">
        <v>0.65883244882486736</v>
      </c>
      <c r="L48" s="16">
        <v>0.64029975020815988</v>
      </c>
      <c r="M48" s="41">
        <v>0.71916890080428952</v>
      </c>
      <c r="N48" s="41">
        <v>0.61641929499072357</v>
      </c>
      <c r="O48" s="41">
        <v>0.62949999999999995</v>
      </c>
      <c r="P48" s="41">
        <v>0.66770914777169665</v>
      </c>
      <c r="Q48" s="41">
        <v>0.65677374301675973</v>
      </c>
      <c r="R48" s="41">
        <v>0.68578553615960103</v>
      </c>
      <c r="S48" s="41">
        <v>0.68584070796460173</v>
      </c>
      <c r="T48" s="89">
        <f t="shared" si="5"/>
        <v>3.967230682931322</v>
      </c>
      <c r="U48" s="89">
        <f t="shared" si="6"/>
        <v>5.6340707964601773</v>
      </c>
      <c r="V48" s="89">
        <f t="shared" si="7"/>
        <v>5.5171805000697738E-3</v>
      </c>
    </row>
    <row r="49" spans="1:22" x14ac:dyDescent="0.25">
      <c r="A49" s="15" t="s">
        <v>16</v>
      </c>
      <c r="B49" s="41">
        <v>0.54908835904628328</v>
      </c>
      <c r="C49" s="41">
        <v>0.6475044563279857</v>
      </c>
      <c r="D49" s="41">
        <v>0.62056414922656966</v>
      </c>
      <c r="E49" s="41">
        <v>0.60643564356435642</v>
      </c>
      <c r="F49" s="16">
        <v>0.64959944270289094</v>
      </c>
      <c r="G49" s="16">
        <v>0.63559925894256808</v>
      </c>
      <c r="H49" s="16">
        <v>0.66886326194398682</v>
      </c>
      <c r="I49" s="16">
        <v>0.67032050518289055</v>
      </c>
      <c r="J49" s="16">
        <v>0.68226099989294509</v>
      </c>
      <c r="K49" s="16">
        <v>0.68101898101898106</v>
      </c>
      <c r="L49" s="16">
        <v>0.66996442863494887</v>
      </c>
      <c r="M49" s="41">
        <v>0.68264918937564678</v>
      </c>
      <c r="N49" s="41">
        <v>0.64359609500218562</v>
      </c>
      <c r="O49" s="41">
        <v>0.65608180839612484</v>
      </c>
      <c r="P49" s="41">
        <v>0.66703296703296699</v>
      </c>
      <c r="Q49" s="41">
        <v>0.67243767313019387</v>
      </c>
      <c r="R49" s="41">
        <v>0.67053588701876576</v>
      </c>
      <c r="S49" s="41">
        <v>0.67210617928633598</v>
      </c>
      <c r="T49" s="89">
        <f t="shared" si="5"/>
        <v>-1.0154820606609105</v>
      </c>
      <c r="U49" s="89">
        <f t="shared" si="6"/>
        <v>1.6024370890211137</v>
      </c>
      <c r="V49" s="89">
        <f t="shared" si="7"/>
        <v>0.15702922675702169</v>
      </c>
    </row>
    <row r="50" spans="1:22" x14ac:dyDescent="0.25">
      <c r="A50" s="15" t="s">
        <v>31</v>
      </c>
      <c r="B50" s="16">
        <v>0.74428274428274432</v>
      </c>
      <c r="C50" s="16">
        <v>0.76712328767123283</v>
      </c>
      <c r="D50" s="16">
        <v>0.76335250616269512</v>
      </c>
      <c r="E50" s="16">
        <v>0.73957703927492446</v>
      </c>
      <c r="F50" s="16">
        <v>0.72152487215248717</v>
      </c>
      <c r="G50" s="16">
        <v>0.66814486326681444</v>
      </c>
      <c r="H50" s="16">
        <v>0.70588235294117652</v>
      </c>
      <c r="I50" s="16">
        <v>0.71128775834658187</v>
      </c>
      <c r="J50" s="16">
        <v>0.66862929816297689</v>
      </c>
      <c r="K50" s="16">
        <v>0.69202453987730062</v>
      </c>
      <c r="L50" s="41">
        <v>0.70172298053255766</v>
      </c>
      <c r="M50" s="41">
        <v>0.70226244343891397</v>
      </c>
      <c r="N50" s="41">
        <v>0.69960748095128145</v>
      </c>
      <c r="O50" s="41">
        <v>0.67385601865345379</v>
      </c>
      <c r="P50" s="41">
        <v>0.68948334644636766</v>
      </c>
      <c r="Q50" s="41">
        <v>0.68746372605919903</v>
      </c>
      <c r="R50" s="41">
        <v>0.68792065178887707</v>
      </c>
      <c r="S50" s="41">
        <v>0.66587452471482889</v>
      </c>
      <c r="T50" s="89">
        <f t="shared" si="5"/>
        <v>-0.27547734481480068</v>
      </c>
      <c r="U50" s="89">
        <f t="shared" si="6"/>
        <v>-0.79814939386249062</v>
      </c>
      <c r="V50" s="89">
        <f t="shared" si="7"/>
        <v>-2.2046127074048183</v>
      </c>
    </row>
    <row r="51" spans="1:22" x14ac:dyDescent="0.25">
      <c r="A51" s="73" t="s">
        <v>239</v>
      </c>
      <c r="B51" s="4"/>
      <c r="C51" s="4"/>
      <c r="D51" s="4"/>
      <c r="E51" s="4"/>
      <c r="F51" s="4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"/>
    </row>
    <row r="52" spans="1:22" x14ac:dyDescent="0.25">
      <c r="A52" s="5"/>
      <c r="B52" s="4"/>
      <c r="C52" s="4"/>
      <c r="D52" s="4"/>
      <c r="E52" s="4"/>
      <c r="F52" s="4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/>
    </row>
    <row r="53" spans="1:22" ht="18" x14ac:dyDescent="0.25">
      <c r="A53" s="11" t="s">
        <v>269</v>
      </c>
      <c r="B53" s="11"/>
      <c r="C53" s="11"/>
      <c r="D53" s="11"/>
      <c r="E53" s="11"/>
      <c r="F53" s="11"/>
      <c r="G53" s="1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2" ht="45" customHeight="1" x14ac:dyDescent="0.25">
      <c r="A54" s="14" t="s">
        <v>95</v>
      </c>
      <c r="B54" s="38">
        <v>2007</v>
      </c>
      <c r="C54" s="38">
        <v>2008</v>
      </c>
      <c r="D54" s="38">
        <v>2009</v>
      </c>
      <c r="E54" s="38">
        <v>2010</v>
      </c>
      <c r="F54" s="38">
        <v>2011</v>
      </c>
      <c r="G54" s="38">
        <v>2012</v>
      </c>
      <c r="H54" s="38">
        <v>2013</v>
      </c>
      <c r="I54" s="38">
        <v>2014</v>
      </c>
      <c r="J54" s="38">
        <v>2015</v>
      </c>
      <c r="K54" s="38">
        <v>2016</v>
      </c>
      <c r="L54" s="38">
        <v>2017</v>
      </c>
      <c r="M54" s="38">
        <v>2018</v>
      </c>
      <c r="N54" s="38">
        <v>2019</v>
      </c>
      <c r="O54" s="38">
        <v>2020</v>
      </c>
      <c r="P54" s="38">
        <v>2021</v>
      </c>
      <c r="Q54" s="38">
        <v>2022</v>
      </c>
      <c r="R54" s="38">
        <v>2023</v>
      </c>
      <c r="S54" s="38">
        <v>2024</v>
      </c>
      <c r="T54" s="39" t="s">
        <v>373</v>
      </c>
      <c r="U54" s="39" t="s">
        <v>374</v>
      </c>
      <c r="V54" s="39" t="s">
        <v>375</v>
      </c>
    </row>
    <row r="55" spans="1:22" x14ac:dyDescent="0.25">
      <c r="A55" s="15" t="s">
        <v>51</v>
      </c>
      <c r="B55" s="16">
        <v>0.91164884637028698</v>
      </c>
      <c r="C55" s="16">
        <v>0.89825119236883944</v>
      </c>
      <c r="D55" s="16">
        <v>0.93698770491803274</v>
      </c>
      <c r="E55" s="16">
        <v>0.93595041322314054</v>
      </c>
      <c r="F55" s="16">
        <v>0.90133201776023675</v>
      </c>
      <c r="G55" s="16">
        <v>0.91093117408906887</v>
      </c>
      <c r="H55" s="16">
        <v>0.93724696356275305</v>
      </c>
      <c r="I55" s="16">
        <v>0.94708209693372902</v>
      </c>
      <c r="J55" s="16">
        <v>0.94736842105263153</v>
      </c>
      <c r="K55" s="16">
        <v>0.93647058823529417</v>
      </c>
      <c r="L55" s="16">
        <v>0.94404332129963897</v>
      </c>
      <c r="M55" s="16">
        <v>0.94543147208121825</v>
      </c>
      <c r="N55" s="16">
        <v>0.94185567010309279</v>
      </c>
      <c r="O55" s="16">
        <v>0.95483596080102262</v>
      </c>
      <c r="P55" s="16">
        <v>0.94732937685459939</v>
      </c>
      <c r="Q55" s="16">
        <v>0.9532334672999635</v>
      </c>
      <c r="R55" s="16">
        <v>0.95549469359808281</v>
      </c>
      <c r="S55" s="16">
        <v>0.95845600261694475</v>
      </c>
      <c r="T55" s="89">
        <f t="shared" ref="T55:T84" si="8">(S55-J55)*100</f>
        <v>1.108758156431322</v>
      </c>
      <c r="U55" s="89">
        <f t="shared" ref="U55:U84" si="9">(S55-O55)*100</f>
        <v>0.36200418159221259</v>
      </c>
      <c r="V55" s="89">
        <f t="shared" ref="V55:V84" si="10">(S55-R55)*100</f>
        <v>0.29613090188619351</v>
      </c>
    </row>
    <row r="56" spans="1:22" x14ac:dyDescent="0.25">
      <c r="A56" s="15" t="s">
        <v>52</v>
      </c>
      <c r="B56" s="16">
        <v>0.85154975530179444</v>
      </c>
      <c r="C56" s="16">
        <v>0.86855241264559069</v>
      </c>
      <c r="D56" s="16">
        <v>0.86912751677852351</v>
      </c>
      <c r="E56" s="16">
        <v>0.88538011695906438</v>
      </c>
      <c r="F56" s="16">
        <v>0.81243830207305034</v>
      </c>
      <c r="G56" s="16">
        <v>0.84527972027972031</v>
      </c>
      <c r="H56" s="16">
        <v>0.87567567567567572</v>
      </c>
      <c r="I56" s="16">
        <v>0.88530219780219777</v>
      </c>
      <c r="J56" s="16">
        <v>0.89736664415935175</v>
      </c>
      <c r="K56" s="16">
        <v>0.91264667535853972</v>
      </c>
      <c r="L56" s="16">
        <v>0.86488027366020526</v>
      </c>
      <c r="M56" s="16">
        <v>0.91349999999999998</v>
      </c>
      <c r="N56" s="16">
        <v>0.90969899665551834</v>
      </c>
      <c r="O56" s="16">
        <v>0.93171402383134738</v>
      </c>
      <c r="P56" s="16">
        <v>0.93297587131367288</v>
      </c>
      <c r="Q56" s="16">
        <v>0.9045433685176687</v>
      </c>
      <c r="R56" s="16">
        <v>0.9059613769941226</v>
      </c>
      <c r="S56" s="16">
        <v>0.91426344505066248</v>
      </c>
      <c r="T56" s="89">
        <f t="shared" si="8"/>
        <v>1.6896800891310737</v>
      </c>
      <c r="U56" s="89">
        <f t="shared" si="9"/>
        <v>-1.74505787806849</v>
      </c>
      <c r="V56" s="89">
        <f t="shared" si="10"/>
        <v>0.83020680565398797</v>
      </c>
    </row>
    <row r="57" spans="1:22" x14ac:dyDescent="0.25">
      <c r="A57" s="15" t="s">
        <v>56</v>
      </c>
      <c r="B57" s="16">
        <v>0.86588921282798836</v>
      </c>
      <c r="C57" s="16">
        <v>0.85931034482758617</v>
      </c>
      <c r="D57" s="16">
        <v>0.86357435197817189</v>
      </c>
      <c r="E57" s="16">
        <v>0.88741721854304634</v>
      </c>
      <c r="F57" s="16">
        <v>0.83701657458563539</v>
      </c>
      <c r="G57" s="16">
        <v>0.83401360544217684</v>
      </c>
      <c r="H57" s="16">
        <v>0.8017676767676768</v>
      </c>
      <c r="I57" s="16">
        <v>0.79700115340253752</v>
      </c>
      <c r="J57" s="16">
        <v>0.83673469387755106</v>
      </c>
      <c r="K57" s="16">
        <v>0.8475991649269311</v>
      </c>
      <c r="L57" s="16">
        <v>0.88116817724068475</v>
      </c>
      <c r="M57" s="16">
        <v>0.86312640239341809</v>
      </c>
      <c r="N57" s="16">
        <v>0.89590110605074824</v>
      </c>
      <c r="O57" s="16">
        <v>0.91604010025062654</v>
      </c>
      <c r="P57" s="16">
        <v>0.88723667905824044</v>
      </c>
      <c r="Q57" s="16">
        <v>0.87776332899869958</v>
      </c>
      <c r="R57" s="16">
        <v>0.88463426607756501</v>
      </c>
      <c r="S57" s="16">
        <v>0.90995065789473684</v>
      </c>
      <c r="T57" s="89">
        <f t="shared" si="8"/>
        <v>7.321596401718578</v>
      </c>
      <c r="U57" s="89">
        <f t="shared" si="9"/>
        <v>-0.60894423558897071</v>
      </c>
      <c r="V57" s="89">
        <f t="shared" si="10"/>
        <v>2.5316391817171824</v>
      </c>
    </row>
    <row r="58" spans="1:22" x14ac:dyDescent="0.25">
      <c r="A58" s="15" t="s">
        <v>44</v>
      </c>
      <c r="B58" s="16">
        <v>0.86702127659574468</v>
      </c>
      <c r="C58" s="16">
        <v>0.87709090909090914</v>
      </c>
      <c r="D58" s="16">
        <v>0.90372272143774068</v>
      </c>
      <c r="E58" s="16">
        <v>0.87369001654715939</v>
      </c>
      <c r="F58" s="16">
        <v>0.84571129707112969</v>
      </c>
      <c r="G58" s="16">
        <v>0.75523889354568319</v>
      </c>
      <c r="H58" s="16">
        <v>0.79539242483404915</v>
      </c>
      <c r="I58" s="16">
        <v>0.79750644883920896</v>
      </c>
      <c r="J58" s="16">
        <v>0.80913348946135832</v>
      </c>
      <c r="K58" s="16">
        <v>0.80184489238127776</v>
      </c>
      <c r="L58" s="16">
        <v>0.88450860632981676</v>
      </c>
      <c r="M58" s="16">
        <v>0.87582089552238807</v>
      </c>
      <c r="N58" s="16">
        <v>0.8809946714031972</v>
      </c>
      <c r="O58" s="16">
        <v>0.93065941536369812</v>
      </c>
      <c r="P58" s="16">
        <v>0.89424703891708968</v>
      </c>
      <c r="Q58" s="16">
        <v>0.89493791786055399</v>
      </c>
      <c r="R58" s="16">
        <v>0.89504716981132071</v>
      </c>
      <c r="S58" s="16">
        <v>0.90904311251314407</v>
      </c>
      <c r="T58" s="89">
        <f t="shared" si="8"/>
        <v>9.9909623051785736</v>
      </c>
      <c r="U58" s="89">
        <f t="shared" si="9"/>
        <v>-2.1616302850554048</v>
      </c>
      <c r="V58" s="89">
        <f t="shared" si="10"/>
        <v>1.3995942701823361</v>
      </c>
    </row>
    <row r="59" spans="1:22" x14ac:dyDescent="0.25">
      <c r="A59" s="15" t="s">
        <v>37</v>
      </c>
      <c r="B59" s="16">
        <v>0.8105211885046274</v>
      </c>
      <c r="C59" s="16">
        <v>0.80713664055700607</v>
      </c>
      <c r="D59" s="16">
        <v>0.83809270819497939</v>
      </c>
      <c r="E59" s="16">
        <v>0.83364507832592938</v>
      </c>
      <c r="F59" s="16">
        <v>0.7969916556873079</v>
      </c>
      <c r="G59" s="16">
        <v>0.75405055087491901</v>
      </c>
      <c r="H59" s="16">
        <v>0.82180916976456009</v>
      </c>
      <c r="I59" s="16">
        <v>0.82590565545999484</v>
      </c>
      <c r="J59" s="16">
        <v>0.83355923014367039</v>
      </c>
      <c r="K59" s="16">
        <v>0.83317637562222524</v>
      </c>
      <c r="L59" s="16">
        <v>0.83124826244092298</v>
      </c>
      <c r="M59" s="16">
        <v>0.83187739463601529</v>
      </c>
      <c r="N59" s="16">
        <v>0.84619032564021501</v>
      </c>
      <c r="O59" s="16">
        <v>0.89261634599572437</v>
      </c>
      <c r="P59" s="112">
        <v>0.85977859778597787</v>
      </c>
      <c r="Q59" s="112">
        <v>0.88127986101056899</v>
      </c>
      <c r="R59" s="112">
        <v>0.87702047413793105</v>
      </c>
      <c r="S59" s="112">
        <v>0.89282348189039984</v>
      </c>
      <c r="T59" s="89">
        <f t="shared" si="8"/>
        <v>5.9264251746729446</v>
      </c>
      <c r="U59" s="89">
        <f t="shared" si="9"/>
        <v>2.0713589467546978E-2</v>
      </c>
      <c r="V59" s="89">
        <f t="shared" si="10"/>
        <v>1.580300775246879</v>
      </c>
    </row>
    <row r="60" spans="1:22" x14ac:dyDescent="0.25">
      <c r="A60" s="15" t="s">
        <v>349</v>
      </c>
      <c r="B60" s="16">
        <v>0.749018797769056</v>
      </c>
      <c r="C60" s="16">
        <v>0.76816347124117057</v>
      </c>
      <c r="D60" s="16">
        <v>0.79135135135135137</v>
      </c>
      <c r="E60" s="16">
        <v>0.8051561725334655</v>
      </c>
      <c r="F60" s="16">
        <v>0.76843352087651762</v>
      </c>
      <c r="G60" s="16">
        <v>0.75125944584382875</v>
      </c>
      <c r="H60" s="16">
        <v>0.77417998317914216</v>
      </c>
      <c r="I60" s="16">
        <v>0.78413865546218486</v>
      </c>
      <c r="J60" s="16">
        <v>0.81559888579387185</v>
      </c>
      <c r="K60" s="16">
        <v>0.82268370607028751</v>
      </c>
      <c r="L60" s="16">
        <v>0.89176741508347723</v>
      </c>
      <c r="M60" s="16">
        <v>0.86363636363636365</v>
      </c>
      <c r="N60" s="16">
        <v>0.86088379705400986</v>
      </c>
      <c r="O60" s="16">
        <v>0.91933570581257418</v>
      </c>
      <c r="P60" s="16">
        <v>0.87332808811959084</v>
      </c>
      <c r="Q60" s="16">
        <v>0.86341929321872013</v>
      </c>
      <c r="R60" s="16">
        <v>0.88895417156286727</v>
      </c>
      <c r="S60" s="16">
        <v>0.88715744223535731</v>
      </c>
      <c r="T60" s="89">
        <f t="shared" si="8"/>
        <v>7.155855644148545</v>
      </c>
      <c r="U60" s="89">
        <f t="shared" si="9"/>
        <v>-3.217826357721687</v>
      </c>
      <c r="V60" s="89">
        <f t="shared" si="10"/>
        <v>-0.17967293275099605</v>
      </c>
    </row>
    <row r="61" spans="1:22" x14ac:dyDescent="0.25">
      <c r="A61" s="15" t="s">
        <v>39</v>
      </c>
      <c r="B61" s="16">
        <v>0.81152063562127563</v>
      </c>
      <c r="C61" s="16">
        <v>0.78892092257001645</v>
      </c>
      <c r="D61" s="16">
        <v>0.79408942621377854</v>
      </c>
      <c r="E61" s="16">
        <v>0.81361510479819854</v>
      </c>
      <c r="F61" s="16">
        <v>0.7801153186847436</v>
      </c>
      <c r="G61" s="16">
        <v>0.76004835297673012</v>
      </c>
      <c r="H61" s="16">
        <v>0.79055949826704075</v>
      </c>
      <c r="I61" s="16">
        <v>0.79342064234487064</v>
      </c>
      <c r="J61" s="16">
        <v>0.81590553421539336</v>
      </c>
      <c r="K61" s="16">
        <v>0.81209061135371174</v>
      </c>
      <c r="L61" s="16">
        <v>0.81886149003147957</v>
      </c>
      <c r="M61" s="41">
        <v>0.82711909871244638</v>
      </c>
      <c r="N61" s="41">
        <v>0.82097349643221207</v>
      </c>
      <c r="O61" s="41">
        <v>0.85203761755485896</v>
      </c>
      <c r="P61" s="41">
        <v>0.86619557784362888</v>
      </c>
      <c r="Q61" s="41">
        <v>0.85777594558384007</v>
      </c>
      <c r="R61" s="41">
        <v>0.87009692906966207</v>
      </c>
      <c r="S61" s="41">
        <v>0.88577334411791142</v>
      </c>
      <c r="T61" s="89">
        <f t="shared" si="8"/>
        <v>6.9867809902518063</v>
      </c>
      <c r="U61" s="89">
        <f t="shared" si="9"/>
        <v>3.3735726563052459</v>
      </c>
      <c r="V61" s="89">
        <f t="shared" si="10"/>
        <v>1.5676415048249348</v>
      </c>
    </row>
    <row r="62" spans="1:22" x14ac:dyDescent="0.25">
      <c r="A62" s="15" t="s">
        <v>45</v>
      </c>
      <c r="B62" s="16">
        <v>0.85208663497094561</v>
      </c>
      <c r="C62" s="16">
        <v>0.85241974125539055</v>
      </c>
      <c r="D62" s="16">
        <v>0.87851275399913531</v>
      </c>
      <c r="E62" s="16">
        <v>0.88332660476382718</v>
      </c>
      <c r="F62" s="16">
        <v>0.85220729366602688</v>
      </c>
      <c r="G62" s="16">
        <v>0.84205057152753726</v>
      </c>
      <c r="H62" s="16">
        <v>0.82889889480147361</v>
      </c>
      <c r="I62" s="16">
        <v>0.81560283687943258</v>
      </c>
      <c r="J62" s="16">
        <v>0.82912793271359009</v>
      </c>
      <c r="K62" s="16">
        <v>0.84476843910806176</v>
      </c>
      <c r="L62" s="16">
        <v>0.85002186270223001</v>
      </c>
      <c r="M62" s="16">
        <v>0.86604514229636897</v>
      </c>
      <c r="N62" s="16">
        <v>0.84659913169319823</v>
      </c>
      <c r="O62" s="16">
        <v>0.90631067961165046</v>
      </c>
      <c r="P62" s="16">
        <v>0.87836583101207055</v>
      </c>
      <c r="Q62" s="16">
        <v>0.87857762359063318</v>
      </c>
      <c r="R62" s="16">
        <v>0.88160508541914984</v>
      </c>
      <c r="S62" s="16">
        <v>0.88507157464212682</v>
      </c>
      <c r="T62" s="89">
        <f t="shared" si="8"/>
        <v>5.5943641928536731</v>
      </c>
      <c r="U62" s="89">
        <f t="shared" si="9"/>
        <v>-2.1239104969523637</v>
      </c>
      <c r="V62" s="89">
        <f t="shared" si="10"/>
        <v>0.34664892229769873</v>
      </c>
    </row>
    <row r="63" spans="1:22" x14ac:dyDescent="0.25">
      <c r="A63" s="15" t="s">
        <v>221</v>
      </c>
      <c r="B63" s="16">
        <v>0.78381962864721488</v>
      </c>
      <c r="C63" s="16">
        <v>0.79953917050691248</v>
      </c>
      <c r="D63" s="16">
        <v>0.77265372168284785</v>
      </c>
      <c r="E63" s="16">
        <v>0.81947743467933487</v>
      </c>
      <c r="F63" s="16">
        <v>0.79273327828241125</v>
      </c>
      <c r="G63" s="16">
        <v>0.80506523407521102</v>
      </c>
      <c r="H63" s="16">
        <v>0.80293663060278209</v>
      </c>
      <c r="I63" s="16">
        <v>0.82209867963863792</v>
      </c>
      <c r="J63" s="16">
        <v>0.81633986928104574</v>
      </c>
      <c r="K63" s="16">
        <v>0.82467929138668294</v>
      </c>
      <c r="L63" s="16">
        <v>0.84367396593673971</v>
      </c>
      <c r="M63" s="41">
        <v>0.81141439205955335</v>
      </c>
      <c r="N63" s="41">
        <v>0.82970183486238536</v>
      </c>
      <c r="O63" s="41">
        <v>0.88904109589041092</v>
      </c>
      <c r="P63" s="41">
        <v>0.86295503211991431</v>
      </c>
      <c r="Q63" s="41">
        <v>0.85780118499012503</v>
      </c>
      <c r="R63" s="41">
        <v>0.87441314553990612</v>
      </c>
      <c r="S63" s="41">
        <v>0.8839285714285714</v>
      </c>
      <c r="T63" s="89">
        <f t="shared" si="8"/>
        <v>6.7588702147525659</v>
      </c>
      <c r="U63" s="89">
        <f t="shared" si="9"/>
        <v>-0.51125244618395183</v>
      </c>
      <c r="V63" s="89">
        <f t="shared" si="10"/>
        <v>0.95154258886652743</v>
      </c>
    </row>
    <row r="64" spans="1:22" x14ac:dyDescent="0.25">
      <c r="A64" s="15" t="s">
        <v>53</v>
      </c>
      <c r="B64" s="16">
        <v>0.84615384615384615</v>
      </c>
      <c r="C64" s="16">
        <v>0.87862318840579712</v>
      </c>
      <c r="D64" s="16">
        <v>0.86011080332409973</v>
      </c>
      <c r="E64" s="16">
        <v>0.85557432432432434</v>
      </c>
      <c r="F64" s="16">
        <v>0.82522903453136009</v>
      </c>
      <c r="G64" s="16">
        <v>0.80927835051546393</v>
      </c>
      <c r="H64" s="16">
        <v>0.8080862533692722</v>
      </c>
      <c r="I64" s="16">
        <v>0.8434879821129122</v>
      </c>
      <c r="J64" s="16">
        <v>0.85693069306930691</v>
      </c>
      <c r="K64" s="16">
        <v>0.85415699024616809</v>
      </c>
      <c r="L64" s="16">
        <v>0.86457023060796645</v>
      </c>
      <c r="M64" s="16">
        <v>0.86877139596804864</v>
      </c>
      <c r="N64" s="16">
        <v>0.86287878787878791</v>
      </c>
      <c r="O64" s="16">
        <v>0.89496630994847404</v>
      </c>
      <c r="P64" s="16">
        <v>0.8896551724137931</v>
      </c>
      <c r="Q64" s="16">
        <v>0.88869789428448642</v>
      </c>
      <c r="R64" s="16">
        <v>0.84062161185399353</v>
      </c>
      <c r="S64" s="16">
        <v>0.8838276836158192</v>
      </c>
      <c r="T64" s="89">
        <f t="shared" si="8"/>
        <v>2.6896990546512289</v>
      </c>
      <c r="U64" s="89">
        <f t="shared" si="9"/>
        <v>-1.1138626332654833</v>
      </c>
      <c r="V64" s="89">
        <f t="shared" si="10"/>
        <v>4.3206071761825671</v>
      </c>
    </row>
    <row r="65" spans="1:22" x14ac:dyDescent="0.25">
      <c r="A65" s="15" t="s">
        <v>41</v>
      </c>
      <c r="B65" s="16">
        <v>0.80256972735819487</v>
      </c>
      <c r="C65" s="16">
        <v>0.78881807647740443</v>
      </c>
      <c r="D65" s="16">
        <v>0.78249744114636643</v>
      </c>
      <c r="E65" s="16">
        <v>0.8322815533980582</v>
      </c>
      <c r="F65" s="16">
        <v>0.79742388758782201</v>
      </c>
      <c r="G65" s="16">
        <v>0.83058282849383747</v>
      </c>
      <c r="H65" s="16">
        <v>0.79367643664897303</v>
      </c>
      <c r="I65" s="16">
        <v>0.80532834774480022</v>
      </c>
      <c r="J65" s="16">
        <v>0.81068524970963995</v>
      </c>
      <c r="K65" s="16">
        <v>0.82400178451929507</v>
      </c>
      <c r="L65" s="16">
        <v>0.83552014995313961</v>
      </c>
      <c r="M65" s="16">
        <v>0.81316505815392226</v>
      </c>
      <c r="N65" s="16">
        <v>0.83867084035636885</v>
      </c>
      <c r="O65" s="16">
        <v>0.8958890780831914</v>
      </c>
      <c r="P65" s="16">
        <v>0.86860341151385922</v>
      </c>
      <c r="Q65" s="16">
        <v>0.83247770872737104</v>
      </c>
      <c r="R65" s="16">
        <v>0.85096153846153844</v>
      </c>
      <c r="S65" s="16">
        <v>0.88131962296486721</v>
      </c>
      <c r="T65" s="89">
        <f t="shared" si="8"/>
        <v>7.0634373255227256</v>
      </c>
      <c r="U65" s="89">
        <f t="shared" si="9"/>
        <v>-1.4569455118324193</v>
      </c>
      <c r="V65" s="89">
        <f t="shared" si="10"/>
        <v>3.0358084503328775</v>
      </c>
    </row>
    <row r="66" spans="1:22" x14ac:dyDescent="0.25">
      <c r="A66" s="15" t="s">
        <v>47</v>
      </c>
      <c r="B66" s="16">
        <v>0.84772137828825489</v>
      </c>
      <c r="C66" s="16">
        <v>0.85846267553584632</v>
      </c>
      <c r="D66" s="16">
        <v>0.87580218950547373</v>
      </c>
      <c r="E66" s="16">
        <v>0.87014881820834544</v>
      </c>
      <c r="F66" s="16">
        <v>0.73325138291333747</v>
      </c>
      <c r="G66" s="16">
        <v>0.82383107088989438</v>
      </c>
      <c r="H66" s="16">
        <v>0.83372984403912243</v>
      </c>
      <c r="I66" s="16">
        <v>0.85295656724228153</v>
      </c>
      <c r="J66" s="16">
        <v>0.86704730831973897</v>
      </c>
      <c r="K66" s="16">
        <v>0.86650931025439282</v>
      </c>
      <c r="L66" s="16">
        <v>0.84739308728763918</v>
      </c>
      <c r="M66" s="16">
        <v>0.84369652025099828</v>
      </c>
      <c r="N66" s="16">
        <v>0.87952392518824385</v>
      </c>
      <c r="O66" s="16">
        <v>0.92932438907522763</v>
      </c>
      <c r="P66" s="16">
        <v>0.8815756669159811</v>
      </c>
      <c r="Q66" s="16">
        <v>0.85784428337619822</v>
      </c>
      <c r="R66" s="16">
        <v>0.87325905292479111</v>
      </c>
      <c r="S66" s="16">
        <v>0.8790791238265534</v>
      </c>
      <c r="T66" s="89">
        <f t="shared" si="8"/>
        <v>1.2031815506814425</v>
      </c>
      <c r="U66" s="89">
        <f t="shared" si="9"/>
        <v>-5.0245265248674231</v>
      </c>
      <c r="V66" s="89">
        <f t="shared" si="10"/>
        <v>0.58200709017622865</v>
      </c>
    </row>
    <row r="67" spans="1:22" x14ac:dyDescent="0.25">
      <c r="A67" s="15" t="s">
        <v>212</v>
      </c>
      <c r="B67" s="16">
        <v>0.78536880290205557</v>
      </c>
      <c r="C67" s="16">
        <v>0.74866310160427807</v>
      </c>
      <c r="D67" s="16">
        <v>0.78263244128891318</v>
      </c>
      <c r="E67" s="16">
        <v>0.81209247184350919</v>
      </c>
      <c r="F67" s="16">
        <v>0.76531231049120674</v>
      </c>
      <c r="G67" s="16">
        <v>0.78048780487804881</v>
      </c>
      <c r="H67" s="16">
        <v>0.7506613756613757</v>
      </c>
      <c r="I67" s="16">
        <v>0.75320296695886713</v>
      </c>
      <c r="J67" s="16">
        <v>0.80158247108947045</v>
      </c>
      <c r="K67" s="16">
        <v>0.80075798592311853</v>
      </c>
      <c r="L67" s="16">
        <v>0.80529671407552716</v>
      </c>
      <c r="M67" s="16">
        <v>0.82368896925858948</v>
      </c>
      <c r="N67" s="16">
        <v>0.81792376317923765</v>
      </c>
      <c r="O67" s="16">
        <v>0.86758620689655175</v>
      </c>
      <c r="P67" s="16">
        <v>0.86065825899723158</v>
      </c>
      <c r="Q67" s="16">
        <v>0.84125612215499856</v>
      </c>
      <c r="R67" s="16">
        <v>0.85864877815045515</v>
      </c>
      <c r="S67" s="16">
        <v>0.8777211672070403</v>
      </c>
      <c r="T67" s="89">
        <f t="shared" si="8"/>
        <v>7.6138696117569848</v>
      </c>
      <c r="U67" s="89">
        <f t="shared" si="9"/>
        <v>1.013496031048855</v>
      </c>
      <c r="V67" s="89">
        <f t="shared" si="10"/>
        <v>1.9072389056585148</v>
      </c>
    </row>
    <row r="68" spans="1:22" x14ac:dyDescent="0.25">
      <c r="A68" s="15" t="s">
        <v>42</v>
      </c>
      <c r="B68" s="16">
        <v>0.77764036606480336</v>
      </c>
      <c r="C68" s="16">
        <v>0.80026542800265432</v>
      </c>
      <c r="D68" s="16">
        <v>0.79898326625714888</v>
      </c>
      <c r="E68" s="16">
        <v>0.81358024691358022</v>
      </c>
      <c r="F68" s="16">
        <v>0.77584354180098858</v>
      </c>
      <c r="G68" s="16">
        <v>0.76016068052930053</v>
      </c>
      <c r="H68" s="16">
        <v>0.78077158603796692</v>
      </c>
      <c r="I68" s="16">
        <v>0.7994951316263974</v>
      </c>
      <c r="J68" s="16">
        <v>0.80502267178235087</v>
      </c>
      <c r="K68" s="16">
        <v>0.80554616165032122</v>
      </c>
      <c r="L68" s="16">
        <v>0.8716517857142857</v>
      </c>
      <c r="M68" s="16">
        <v>0.87524950099800403</v>
      </c>
      <c r="N68" s="16">
        <v>0.82675906183368875</v>
      </c>
      <c r="O68" s="16">
        <v>0.87534059945504084</v>
      </c>
      <c r="P68" s="16">
        <v>0.88940520446096649</v>
      </c>
      <c r="Q68" s="16">
        <v>0.90144927536231889</v>
      </c>
      <c r="R68" s="16">
        <v>0.87106017191977081</v>
      </c>
      <c r="S68" s="16">
        <v>0.87420382165605093</v>
      </c>
      <c r="T68" s="89">
        <f t="shared" si="8"/>
        <v>6.9181149873700054</v>
      </c>
      <c r="U68" s="89">
        <f t="shared" si="9"/>
        <v>-0.11367777989899075</v>
      </c>
      <c r="V68" s="89">
        <f t="shared" si="10"/>
        <v>0.31436497362801186</v>
      </c>
    </row>
    <row r="69" spans="1:22" x14ac:dyDescent="0.25">
      <c r="A69" s="15" t="s">
        <v>35</v>
      </c>
      <c r="B69" s="16">
        <v>0.80056519983851437</v>
      </c>
      <c r="C69" s="16">
        <v>0.77451444812884884</v>
      </c>
      <c r="D69" s="16">
        <v>0.80430622009569375</v>
      </c>
      <c r="E69" s="16">
        <v>0.81650671785028794</v>
      </c>
      <c r="F69" s="16">
        <v>0.79576194770063124</v>
      </c>
      <c r="G69" s="16">
        <v>0.65102230483271373</v>
      </c>
      <c r="H69" s="16">
        <v>0.77539813289401427</v>
      </c>
      <c r="I69" s="16">
        <v>0.80026281208935612</v>
      </c>
      <c r="J69" s="16">
        <v>0.774866569626395</v>
      </c>
      <c r="K69" s="16">
        <v>0.80607016160819867</v>
      </c>
      <c r="L69" s="16">
        <v>0.85682940208447611</v>
      </c>
      <c r="M69" s="16">
        <v>0.84237578526556256</v>
      </c>
      <c r="N69" s="16">
        <v>0.86080821039127642</v>
      </c>
      <c r="O69" s="16">
        <v>0.91518467852257179</v>
      </c>
      <c r="P69" s="16">
        <v>0.89937597503900157</v>
      </c>
      <c r="Q69" s="16">
        <v>0.88312757201646086</v>
      </c>
      <c r="R69" s="16">
        <v>0.88697104677060135</v>
      </c>
      <c r="S69" s="16">
        <v>0.87272727272727268</v>
      </c>
      <c r="T69" s="89">
        <f t="shared" si="8"/>
        <v>9.7860703100877693</v>
      </c>
      <c r="U69" s="89">
        <f t="shared" si="9"/>
        <v>-4.2457405795299108</v>
      </c>
      <c r="V69" s="89">
        <f t="shared" si="10"/>
        <v>-1.4243774043328661</v>
      </c>
    </row>
    <row r="70" spans="1:22" x14ac:dyDescent="0.25">
      <c r="A70" s="15" t="s">
        <v>40</v>
      </c>
      <c r="B70" s="16">
        <v>0.75723069915736729</v>
      </c>
      <c r="C70" s="16">
        <v>0.77696944502182497</v>
      </c>
      <c r="D70" s="16">
        <v>0.77078344166951762</v>
      </c>
      <c r="E70" s="16">
        <v>0.77509767283845765</v>
      </c>
      <c r="F70" s="16">
        <v>0.74065934065934069</v>
      </c>
      <c r="G70" s="16">
        <v>0.70749128919860627</v>
      </c>
      <c r="H70" s="16">
        <v>0.71413524331156519</v>
      </c>
      <c r="I70" s="16">
        <v>0.75281448849730792</v>
      </c>
      <c r="J70" s="16">
        <v>0.75970377936670075</v>
      </c>
      <c r="K70" s="16">
        <v>0.75240153698366952</v>
      </c>
      <c r="L70" s="16">
        <v>0.78075117370892022</v>
      </c>
      <c r="M70" s="16">
        <v>0.78278493085360035</v>
      </c>
      <c r="N70" s="16">
        <v>0.80020677177565258</v>
      </c>
      <c r="O70" s="16">
        <v>0.84891706286318014</v>
      </c>
      <c r="P70" s="16">
        <v>0.83553780883453954</v>
      </c>
      <c r="Q70" s="16">
        <v>0.83979500891265602</v>
      </c>
      <c r="R70" s="16">
        <v>0.84525660964230176</v>
      </c>
      <c r="S70" s="16">
        <v>0.87178072111846949</v>
      </c>
      <c r="T70" s="89">
        <f t="shared" si="8"/>
        <v>11.207694175176874</v>
      </c>
      <c r="U70" s="89">
        <f t="shared" si="9"/>
        <v>2.2863658255289354</v>
      </c>
      <c r="V70" s="89">
        <f t="shared" si="10"/>
        <v>2.6524111476167733</v>
      </c>
    </row>
    <row r="71" spans="1:22" x14ac:dyDescent="0.25">
      <c r="A71" s="15" t="s">
        <v>48</v>
      </c>
      <c r="B71" s="16">
        <v>0.78910614525139666</v>
      </c>
      <c r="C71" s="16">
        <v>0.80318471337579622</v>
      </c>
      <c r="D71" s="16">
        <v>0.80625383200490497</v>
      </c>
      <c r="E71" s="16">
        <v>0.82677165354330706</v>
      </c>
      <c r="F71" s="16">
        <v>0.77850326469110998</v>
      </c>
      <c r="G71" s="16">
        <v>0.8</v>
      </c>
      <c r="H71" s="16">
        <v>0.81923572348647489</v>
      </c>
      <c r="I71" s="16">
        <v>0.80061215566243993</v>
      </c>
      <c r="J71" s="16">
        <v>0.81728395061728398</v>
      </c>
      <c r="K71" s="16">
        <v>0.85033477747144548</v>
      </c>
      <c r="L71" s="16">
        <v>0.84996191926885001</v>
      </c>
      <c r="M71" s="16">
        <v>0.85802693847834</v>
      </c>
      <c r="N71" s="16">
        <v>0.85516997167138808</v>
      </c>
      <c r="O71" s="16">
        <v>0.90555155010814703</v>
      </c>
      <c r="P71" s="16">
        <v>0.8732970027247956</v>
      </c>
      <c r="Q71" s="16">
        <v>0.85462097611630317</v>
      </c>
      <c r="R71" s="16">
        <v>0.85546270504487776</v>
      </c>
      <c r="S71" s="16">
        <v>0.87137049941927991</v>
      </c>
      <c r="T71" s="89">
        <f t="shared" si="8"/>
        <v>5.4086548801995926</v>
      </c>
      <c r="U71" s="89">
        <f t="shared" si="9"/>
        <v>-3.4181050688867121</v>
      </c>
      <c r="V71" s="89">
        <f t="shared" si="10"/>
        <v>1.5907794374402151</v>
      </c>
    </row>
    <row r="72" spans="1:22" x14ac:dyDescent="0.25">
      <c r="A72" s="15" t="s">
        <v>220</v>
      </c>
      <c r="B72" s="16">
        <v>0.77420650863800722</v>
      </c>
      <c r="C72" s="16">
        <v>0.7504607445632141</v>
      </c>
      <c r="D72" s="16">
        <v>0.79359301055697129</v>
      </c>
      <c r="E72" s="16">
        <v>0.81884587289992694</v>
      </c>
      <c r="F72" s="16">
        <v>0.78231522105973672</v>
      </c>
      <c r="G72" s="16">
        <v>0.74160952724648144</v>
      </c>
      <c r="H72" s="16">
        <v>0.77589208006962573</v>
      </c>
      <c r="I72" s="16">
        <v>0.80995691718525609</v>
      </c>
      <c r="J72" s="16">
        <v>0.76260401370533526</v>
      </c>
      <c r="K72" s="16">
        <v>0.80850024425989253</v>
      </c>
      <c r="L72" s="16">
        <v>0.8315850815850816</v>
      </c>
      <c r="M72" s="16">
        <v>0.82223360655737709</v>
      </c>
      <c r="N72" s="16">
        <v>0.82044628956927868</v>
      </c>
      <c r="O72" s="16">
        <v>0.85737615677735435</v>
      </c>
      <c r="P72" s="16">
        <v>0.85266666666666668</v>
      </c>
      <c r="Q72" s="16">
        <v>0.864797507788162</v>
      </c>
      <c r="R72" s="16">
        <v>0.83955600403632691</v>
      </c>
      <c r="S72" s="16">
        <v>0.86399999999999999</v>
      </c>
      <c r="T72" s="89">
        <f t="shared" si="8"/>
        <v>10.139598629466473</v>
      </c>
      <c r="U72" s="89">
        <f t="shared" si="9"/>
        <v>0.66238432226456423</v>
      </c>
      <c r="V72" s="89">
        <f t="shared" si="10"/>
        <v>2.4443995963673082</v>
      </c>
    </row>
    <row r="73" spans="1:22" x14ac:dyDescent="0.25">
      <c r="A73" s="15" t="s">
        <v>38</v>
      </c>
      <c r="B73" s="16">
        <v>0.80569456427955133</v>
      </c>
      <c r="C73" s="16">
        <v>0.77959814528593507</v>
      </c>
      <c r="D73" s="16">
        <v>0.79501146788990829</v>
      </c>
      <c r="E73" s="16">
        <v>0.83979467783331085</v>
      </c>
      <c r="F73" s="16">
        <v>0.78901070882202962</v>
      </c>
      <c r="G73" s="16">
        <v>0.80498362189985961</v>
      </c>
      <c r="H73" s="16">
        <v>0.80433705080545226</v>
      </c>
      <c r="I73" s="16">
        <v>0.81459638776262444</v>
      </c>
      <c r="J73" s="16">
        <v>0.80870105655686764</v>
      </c>
      <c r="K73" s="16">
        <v>0.81251437773176904</v>
      </c>
      <c r="L73" s="16">
        <v>0.81480619252706321</v>
      </c>
      <c r="M73" s="16">
        <v>0.82179034157832742</v>
      </c>
      <c r="N73" s="16">
        <v>0.81985336902129635</v>
      </c>
      <c r="O73" s="16">
        <v>0.87291747384734597</v>
      </c>
      <c r="P73" s="16">
        <v>0.84534868507130712</v>
      </c>
      <c r="Q73" s="16">
        <v>0.82596482657547632</v>
      </c>
      <c r="R73" s="16">
        <v>0.82758227992256006</v>
      </c>
      <c r="S73" s="16">
        <v>0.84432008953553439</v>
      </c>
      <c r="T73" s="89">
        <f t="shared" si="8"/>
        <v>3.5619032978666754</v>
      </c>
      <c r="U73" s="89">
        <f t="shared" si="9"/>
        <v>-2.859738431181158</v>
      </c>
      <c r="V73" s="89">
        <f t="shared" si="10"/>
        <v>1.673780961297433</v>
      </c>
    </row>
    <row r="74" spans="1:22" x14ac:dyDescent="0.25">
      <c r="A74" s="15" t="s">
        <v>10</v>
      </c>
      <c r="B74" s="16">
        <v>0.7196338297581637</v>
      </c>
      <c r="C74" s="16">
        <v>0.70965517241379306</v>
      </c>
      <c r="D74" s="16">
        <v>0.72437656604223843</v>
      </c>
      <c r="E74" s="16">
        <v>0.76134221440241301</v>
      </c>
      <c r="F74" s="16">
        <v>0.73559822747415071</v>
      </c>
      <c r="G74" s="16">
        <v>0.73972775397025459</v>
      </c>
      <c r="H74" s="16">
        <v>0.75307973466901312</v>
      </c>
      <c r="I74" s="16">
        <v>0.74518342570599105</v>
      </c>
      <c r="J74" s="16">
        <v>0.76738289069798482</v>
      </c>
      <c r="K74" s="16">
        <v>0.76706979087931471</v>
      </c>
      <c r="L74" s="16">
        <v>0.77600472813238774</v>
      </c>
      <c r="M74" s="41">
        <v>0.78852066962760503</v>
      </c>
      <c r="N74" s="41">
        <v>0.78835037794575369</v>
      </c>
      <c r="O74" s="41">
        <v>0.8461104211358248</v>
      </c>
      <c r="P74" s="41">
        <v>0.81301167994760393</v>
      </c>
      <c r="Q74" s="41">
        <v>0.81180728342004072</v>
      </c>
      <c r="R74" s="41">
        <v>0.83194641769839661</v>
      </c>
      <c r="S74" s="41">
        <v>0.84154823102509824</v>
      </c>
      <c r="T74" s="89">
        <f t="shared" si="8"/>
        <v>7.4165340327113416</v>
      </c>
      <c r="U74" s="89">
        <f t="shared" si="9"/>
        <v>-0.45621901107265606</v>
      </c>
      <c r="V74" s="89">
        <f t="shared" si="10"/>
        <v>0.96018133267016248</v>
      </c>
    </row>
    <row r="75" spans="1:22" x14ac:dyDescent="0.25">
      <c r="A75" s="15" t="s">
        <v>113</v>
      </c>
      <c r="B75" s="16">
        <v>0.8928571428571429</v>
      </c>
      <c r="C75" s="16">
        <v>0.80692167577413476</v>
      </c>
      <c r="D75" s="16">
        <v>0.86836935166994111</v>
      </c>
      <c r="E75" s="16">
        <v>0.87007874015748032</v>
      </c>
      <c r="F75" s="16">
        <v>0.72635814889336014</v>
      </c>
      <c r="G75" s="16">
        <v>0.83592400690846291</v>
      </c>
      <c r="H75" s="16">
        <v>0.8</v>
      </c>
      <c r="I75" s="16">
        <v>0.82245827010622152</v>
      </c>
      <c r="J75" s="16">
        <v>0.80533333333333335</v>
      </c>
      <c r="K75" s="16">
        <v>0.86393659180977544</v>
      </c>
      <c r="L75" s="16">
        <v>0.82758620689655171</v>
      </c>
      <c r="M75" s="41">
        <v>0.84073763621123221</v>
      </c>
      <c r="N75" s="41">
        <v>0.87306273062730633</v>
      </c>
      <c r="O75" s="41">
        <v>0.88452997779422649</v>
      </c>
      <c r="P75" s="41">
        <v>0.83104284559417951</v>
      </c>
      <c r="Q75" s="41">
        <v>0.82327952421410366</v>
      </c>
      <c r="R75" s="41">
        <v>0.8259162303664922</v>
      </c>
      <c r="S75" s="41">
        <v>0.83773584905660381</v>
      </c>
      <c r="T75" s="89">
        <f t="shared" si="8"/>
        <v>3.2402515723270464</v>
      </c>
      <c r="U75" s="89">
        <f t="shared" si="9"/>
        <v>-4.6794128737622671</v>
      </c>
      <c r="V75" s="89">
        <f t="shared" si="10"/>
        <v>1.1819618690111611</v>
      </c>
    </row>
    <row r="76" spans="1:22" x14ac:dyDescent="0.25">
      <c r="A76" s="15" t="s">
        <v>55</v>
      </c>
      <c r="B76" s="16">
        <v>0.63908045977011496</v>
      </c>
      <c r="C76" s="16">
        <v>0.69087523277467411</v>
      </c>
      <c r="D76" s="16">
        <v>0.71886559802712702</v>
      </c>
      <c r="E76" s="16">
        <v>0.73598258029395758</v>
      </c>
      <c r="F76" s="16">
        <v>0.70313358988455199</v>
      </c>
      <c r="G76" s="16">
        <v>0.67745664739884393</v>
      </c>
      <c r="H76" s="16">
        <v>0.68624161073825507</v>
      </c>
      <c r="I76" s="16">
        <v>0.72986301369863016</v>
      </c>
      <c r="J76" s="16">
        <v>0.7490890161374284</v>
      </c>
      <c r="K76" s="16">
        <v>0.73561578697099383</v>
      </c>
      <c r="L76" s="16">
        <v>0.76623992413466102</v>
      </c>
      <c r="M76" s="16">
        <v>0.77023255813953484</v>
      </c>
      <c r="N76" s="16">
        <v>0.81897265948632969</v>
      </c>
      <c r="O76" s="16">
        <v>0.86063275931117345</v>
      </c>
      <c r="P76" s="16">
        <v>0.82591529073941139</v>
      </c>
      <c r="Q76" s="16">
        <v>0.78098637248539904</v>
      </c>
      <c r="R76" s="16">
        <v>0.842255125284738</v>
      </c>
      <c r="S76" s="16">
        <v>0.83712121212121215</v>
      </c>
      <c r="T76" s="89">
        <f t="shared" si="8"/>
        <v>8.8032195983783765</v>
      </c>
      <c r="U76" s="89">
        <f t="shared" si="9"/>
        <v>-2.351154718996129</v>
      </c>
      <c r="V76" s="89">
        <f t="shared" si="10"/>
        <v>-0.51339131635258495</v>
      </c>
    </row>
    <row r="77" spans="1:22" x14ac:dyDescent="0.25">
      <c r="A77" s="15" t="s">
        <v>46</v>
      </c>
      <c r="B77" s="16">
        <v>0.85755534167468717</v>
      </c>
      <c r="C77" s="16">
        <v>0.81337579617834399</v>
      </c>
      <c r="D77" s="16">
        <v>0.81664656212303977</v>
      </c>
      <c r="E77" s="16">
        <v>0.83511513157894735</v>
      </c>
      <c r="F77" s="16">
        <v>0.80315997366688607</v>
      </c>
      <c r="G77" s="16">
        <v>0.75039897861474625</v>
      </c>
      <c r="H77" s="16">
        <v>0.7857142857142857</v>
      </c>
      <c r="I77" s="16">
        <v>0.81517183570829843</v>
      </c>
      <c r="J77" s="16">
        <v>0.82435299109036908</v>
      </c>
      <c r="K77" s="16">
        <v>0.81562368752624947</v>
      </c>
      <c r="L77" s="16">
        <v>0.80934959349593494</v>
      </c>
      <c r="M77" s="16">
        <v>0.83735763097949889</v>
      </c>
      <c r="N77" s="16">
        <v>0.82741671217913704</v>
      </c>
      <c r="O77" s="16">
        <v>0.8808705612829324</v>
      </c>
      <c r="P77" s="16">
        <v>0.85481682496607869</v>
      </c>
      <c r="Q77" s="16">
        <v>0.81104199066874028</v>
      </c>
      <c r="R77" s="16">
        <v>0.79436450839328532</v>
      </c>
      <c r="S77" s="16">
        <v>0.83453670276774972</v>
      </c>
      <c r="T77" s="89">
        <f t="shared" si="8"/>
        <v>1.0183711677380636</v>
      </c>
      <c r="U77" s="89">
        <f t="shared" si="9"/>
        <v>-4.633385851518268</v>
      </c>
      <c r="V77" s="89">
        <f t="shared" si="10"/>
        <v>4.0172194374464398</v>
      </c>
    </row>
    <row r="78" spans="1:22" x14ac:dyDescent="0.25">
      <c r="A78" s="15" t="s">
        <v>54</v>
      </c>
      <c r="B78" s="16">
        <v>0.73121131741821399</v>
      </c>
      <c r="C78" s="16">
        <v>0.73081708834508508</v>
      </c>
      <c r="D78" s="16">
        <v>0.75156054931335825</v>
      </c>
      <c r="E78" s="16">
        <v>0.74043261231281199</v>
      </c>
      <c r="F78" s="16">
        <v>0.73364485981308414</v>
      </c>
      <c r="G78" s="16">
        <v>0.74420529801324509</v>
      </c>
      <c r="H78" s="16">
        <v>0.74103237095363084</v>
      </c>
      <c r="I78" s="16">
        <v>0.7744328097731239</v>
      </c>
      <c r="J78" s="16">
        <v>0.75020576131687244</v>
      </c>
      <c r="K78" s="16">
        <v>0.75649095200629424</v>
      </c>
      <c r="L78" s="16">
        <v>0.78</v>
      </c>
      <c r="M78" s="41">
        <v>0.77446651949963208</v>
      </c>
      <c r="N78" s="41">
        <v>0.79238374221896746</v>
      </c>
      <c r="O78" s="41">
        <v>0.83494797273053467</v>
      </c>
      <c r="P78" s="41">
        <v>0.80950808847804556</v>
      </c>
      <c r="Q78" s="41">
        <v>0.80994336060415351</v>
      </c>
      <c r="R78" s="41">
        <v>0.81881630374092684</v>
      </c>
      <c r="S78" s="41">
        <v>0.83309227654035289</v>
      </c>
      <c r="T78" s="89">
        <f t="shared" si="8"/>
        <v>8.2886515223480455</v>
      </c>
      <c r="U78" s="89">
        <f t="shared" si="9"/>
        <v>-0.1855696190181777</v>
      </c>
      <c r="V78" s="89">
        <f t="shared" si="10"/>
        <v>1.4275972799426051</v>
      </c>
    </row>
    <row r="79" spans="1:22" x14ac:dyDescent="0.25">
      <c r="A79" s="15" t="s">
        <v>30</v>
      </c>
      <c r="B79" s="16">
        <v>0.80930992241731314</v>
      </c>
      <c r="C79" s="16">
        <v>0.78714285714285714</v>
      </c>
      <c r="D79" s="16">
        <v>0.78603006189213087</v>
      </c>
      <c r="E79" s="16">
        <v>0.79737402413058911</v>
      </c>
      <c r="F79" s="16">
        <v>0.76392382321236074</v>
      </c>
      <c r="G79" s="16">
        <v>0.77103342297349209</v>
      </c>
      <c r="H79" s="16">
        <v>0.76259273721202658</v>
      </c>
      <c r="I79" s="16">
        <v>0.80800000000000005</v>
      </c>
      <c r="J79" s="16">
        <v>0.80327868852459017</v>
      </c>
      <c r="K79" s="16">
        <v>0.80601357904946658</v>
      </c>
      <c r="L79" s="16">
        <v>0.80681442275884885</v>
      </c>
      <c r="M79" s="16">
        <v>0.79456297315898139</v>
      </c>
      <c r="N79" s="16">
        <v>0.82086761406133135</v>
      </c>
      <c r="O79" s="16">
        <v>0.84753167321974665</v>
      </c>
      <c r="P79" s="16">
        <v>0.8302172814552804</v>
      </c>
      <c r="Q79" s="16">
        <v>0.81028086910439856</v>
      </c>
      <c r="R79" s="16">
        <v>0.83853516437786102</v>
      </c>
      <c r="S79" s="16">
        <v>0.83100902378999175</v>
      </c>
      <c r="T79" s="89">
        <f t="shared" si="8"/>
        <v>2.7730335265401584</v>
      </c>
      <c r="U79" s="89">
        <f t="shared" si="9"/>
        <v>-1.6522649429754899</v>
      </c>
      <c r="V79" s="89">
        <f t="shared" si="10"/>
        <v>-0.75261405878692678</v>
      </c>
    </row>
    <row r="80" spans="1:22" x14ac:dyDescent="0.25">
      <c r="A80" s="15" t="s">
        <v>29</v>
      </c>
      <c r="B80" s="16">
        <v>0.73455149501661132</v>
      </c>
      <c r="C80" s="16">
        <v>0.78759747493501675</v>
      </c>
      <c r="D80" s="16">
        <v>0.77587301587301583</v>
      </c>
      <c r="E80" s="16">
        <v>0.79099969797644221</v>
      </c>
      <c r="F80" s="16">
        <v>0.74090505767524406</v>
      </c>
      <c r="G80" s="16">
        <v>0.75592340149302173</v>
      </c>
      <c r="H80" s="16">
        <v>0.73775727466288143</v>
      </c>
      <c r="I80" s="16">
        <v>0.7590266875981162</v>
      </c>
      <c r="J80" s="16">
        <v>0.7338680277068903</v>
      </c>
      <c r="K80" s="16">
        <v>0.7885447885447886</v>
      </c>
      <c r="L80" s="16">
        <v>0.78992848629320622</v>
      </c>
      <c r="M80" s="16">
        <v>0.77446262431825474</v>
      </c>
      <c r="N80" s="16">
        <v>0.77138157894736847</v>
      </c>
      <c r="O80" s="16">
        <v>0.86113236419280792</v>
      </c>
      <c r="P80" s="16">
        <v>0.84005037783375314</v>
      </c>
      <c r="Q80" s="16">
        <v>0.82893450635386123</v>
      </c>
      <c r="R80" s="16">
        <v>0.82282944028206262</v>
      </c>
      <c r="S80" s="16">
        <v>0.82442748091603058</v>
      </c>
      <c r="T80" s="89">
        <f t="shared" si="8"/>
        <v>9.0559453209140273</v>
      </c>
      <c r="U80" s="89">
        <f t="shared" si="9"/>
        <v>-3.6704883276777345</v>
      </c>
      <c r="V80" s="89">
        <f t="shared" si="10"/>
        <v>0.15980406339679565</v>
      </c>
    </row>
    <row r="81" spans="1:22" x14ac:dyDescent="0.25">
      <c r="A81" s="15" t="s">
        <v>43</v>
      </c>
      <c r="B81" s="16">
        <v>0.8183556405353728</v>
      </c>
      <c r="C81" s="16">
        <v>0.7892875189489641</v>
      </c>
      <c r="D81" s="16">
        <v>0.79919839679358717</v>
      </c>
      <c r="E81" s="16">
        <v>0.80269814502529513</v>
      </c>
      <c r="F81" s="16">
        <v>0.75060532687651327</v>
      </c>
      <c r="G81" s="16">
        <v>0.73120665742024971</v>
      </c>
      <c r="H81" s="16">
        <v>0.75096277278562262</v>
      </c>
      <c r="I81" s="16">
        <v>0.75946034879894697</v>
      </c>
      <c r="J81" s="16">
        <v>0.7585868498527969</v>
      </c>
      <c r="K81" s="16">
        <v>0.75987361769352291</v>
      </c>
      <c r="L81" s="16">
        <v>0.78709864043968758</v>
      </c>
      <c r="M81" s="16">
        <v>0.7659640421574706</v>
      </c>
      <c r="N81" s="16">
        <v>0.74202898550724639</v>
      </c>
      <c r="O81" s="16">
        <v>0.85947839626313738</v>
      </c>
      <c r="P81" s="16">
        <v>0.82878030011542902</v>
      </c>
      <c r="Q81" s="16">
        <v>0.79622915155910079</v>
      </c>
      <c r="R81" s="16">
        <v>0.79531600898299648</v>
      </c>
      <c r="S81" s="16">
        <v>0.81218749999999995</v>
      </c>
      <c r="T81" s="89">
        <f t="shared" si="8"/>
        <v>5.3600650147203055</v>
      </c>
      <c r="U81" s="89">
        <f t="shared" si="9"/>
        <v>-4.7290896263137423</v>
      </c>
      <c r="V81" s="89">
        <f t="shared" si="10"/>
        <v>1.687149101700347</v>
      </c>
    </row>
    <row r="82" spans="1:22" x14ac:dyDescent="0.25">
      <c r="A82" s="15" t="s">
        <v>364</v>
      </c>
      <c r="B82" s="16">
        <v>0.84626234132581102</v>
      </c>
      <c r="C82" s="16">
        <v>0.80680272108843543</v>
      </c>
      <c r="D82" s="16">
        <v>0.84960231381055673</v>
      </c>
      <c r="E82" s="16">
        <v>0.81638624725676667</v>
      </c>
      <c r="F82" s="16">
        <v>0.80997109826589597</v>
      </c>
      <c r="G82" s="16">
        <v>0.80498533724340171</v>
      </c>
      <c r="H82" s="16">
        <v>0.79495268138801267</v>
      </c>
      <c r="I82" s="16">
        <v>0.80512422360248448</v>
      </c>
      <c r="J82" s="16">
        <v>0.79281183932346722</v>
      </c>
      <c r="K82" s="16">
        <v>0.8305555555555556</v>
      </c>
      <c r="L82" s="16">
        <v>0.82280219780219777</v>
      </c>
      <c r="M82" s="41">
        <v>0.80181437543614797</v>
      </c>
      <c r="N82" s="41">
        <v>0.83028919330289197</v>
      </c>
      <c r="O82" s="41">
        <v>0.88497854077253224</v>
      </c>
      <c r="P82" s="91">
        <v>0.86772046589018303</v>
      </c>
      <c r="Q82" s="91">
        <v>0.83507853403141363</v>
      </c>
      <c r="R82" s="91">
        <v>0.80875576036866359</v>
      </c>
      <c r="S82" s="91">
        <v>0.80916030534351147</v>
      </c>
      <c r="T82" s="89">
        <f t="shared" si="8"/>
        <v>1.634846602004425</v>
      </c>
      <c r="U82" s="89">
        <f t="shared" si="9"/>
        <v>-7.5818235429020771</v>
      </c>
      <c r="V82" s="89">
        <f t="shared" si="10"/>
        <v>4.0454497484787577E-2</v>
      </c>
    </row>
    <row r="83" spans="1:22" x14ac:dyDescent="0.25">
      <c r="A83" s="15" t="s">
        <v>34</v>
      </c>
      <c r="B83" s="16">
        <v>0.63001579778830963</v>
      </c>
      <c r="C83" s="16">
        <v>0.59472499195882922</v>
      </c>
      <c r="D83" s="16">
        <v>0.64622194119506793</v>
      </c>
      <c r="E83" s="16">
        <v>0.68125565952309086</v>
      </c>
      <c r="F83" s="16">
        <v>0.66241586964222454</v>
      </c>
      <c r="G83" s="16">
        <v>0.65984445354072863</v>
      </c>
      <c r="H83" s="16">
        <v>0.66583229036295366</v>
      </c>
      <c r="I83" s="16">
        <v>0.63317535545023695</v>
      </c>
      <c r="J83" s="16">
        <v>0.65570857396712567</v>
      </c>
      <c r="K83" s="16">
        <v>0.64574376612209805</v>
      </c>
      <c r="L83" s="16">
        <v>0.64460093896713611</v>
      </c>
      <c r="M83" s="41">
        <v>0.68883116883116879</v>
      </c>
      <c r="N83" s="41">
        <v>0.67440439828955401</v>
      </c>
      <c r="O83" s="41">
        <v>0.79292168674698793</v>
      </c>
      <c r="P83" s="41">
        <v>0.74340175953079179</v>
      </c>
      <c r="Q83" s="41">
        <v>0.73492286115007011</v>
      </c>
      <c r="R83" s="41">
        <v>0.79051620648259302</v>
      </c>
      <c r="S83" s="41">
        <v>0.78992558672009161</v>
      </c>
      <c r="T83" s="89">
        <f t="shared" si="8"/>
        <v>13.421701275296593</v>
      </c>
      <c r="U83" s="89">
        <f t="shared" si="9"/>
        <v>-0.299610002689632</v>
      </c>
      <c r="V83" s="89">
        <f t="shared" si="10"/>
        <v>-5.906197625014098E-2</v>
      </c>
    </row>
    <row r="84" spans="1:22" x14ac:dyDescent="0.25">
      <c r="A84" s="15" t="s">
        <v>309</v>
      </c>
      <c r="B84" s="16">
        <v>0.55250836120401337</v>
      </c>
      <c r="C84" s="16">
        <v>0.53119209388511424</v>
      </c>
      <c r="D84" s="16">
        <v>0.58866183256427163</v>
      </c>
      <c r="E84" s="16">
        <v>0.63808975834292292</v>
      </c>
      <c r="F84" s="16">
        <v>0.55992390615091947</v>
      </c>
      <c r="G84" s="16">
        <v>0.58720579360289682</v>
      </c>
      <c r="H84" s="16">
        <v>0.60312331717824452</v>
      </c>
      <c r="I84" s="16">
        <v>0.6420545746388443</v>
      </c>
      <c r="J84" s="16">
        <v>0.60392551585304477</v>
      </c>
      <c r="K84" s="16">
        <v>0.6059850374064838</v>
      </c>
      <c r="L84" s="16">
        <v>0.6231050705697857</v>
      </c>
      <c r="M84" s="16">
        <v>0.64095292115711855</v>
      </c>
      <c r="N84" s="16">
        <v>0.6149395055234087</v>
      </c>
      <c r="O84" s="16">
        <v>0.62364425162689807</v>
      </c>
      <c r="P84" s="16">
        <v>0.59480212640283525</v>
      </c>
      <c r="Q84" s="16">
        <v>0.59345794392523366</v>
      </c>
      <c r="R84" s="16">
        <v>0.60840024706609019</v>
      </c>
      <c r="S84" s="16">
        <v>0.69407008086253374</v>
      </c>
      <c r="T84" s="89">
        <f t="shared" si="8"/>
        <v>9.0144565009488975</v>
      </c>
      <c r="U84" s="89">
        <f t="shared" si="9"/>
        <v>7.0425829235635673</v>
      </c>
      <c r="V84" s="89">
        <f t="shared" si="10"/>
        <v>8.5669833796443555</v>
      </c>
    </row>
    <row r="85" spans="1:22" x14ac:dyDescent="0.25">
      <c r="A85" s="73" t="s">
        <v>239</v>
      </c>
    </row>
    <row r="87" spans="1:22" ht="18" x14ac:dyDescent="0.25">
      <c r="A87" s="11" t="s">
        <v>403</v>
      </c>
      <c r="B87" s="11"/>
      <c r="C87" s="11"/>
      <c r="D87" s="11"/>
      <c r="E87" s="11"/>
      <c r="F87" s="11"/>
      <c r="G87" s="11"/>
    </row>
    <row r="88" spans="1:22" ht="45" customHeight="1" x14ac:dyDescent="0.25">
      <c r="A88" s="14" t="s">
        <v>73</v>
      </c>
      <c r="B88" s="38">
        <v>2007</v>
      </c>
      <c r="C88" s="38">
        <v>2008</v>
      </c>
      <c r="D88" s="38">
        <v>2009</v>
      </c>
      <c r="E88" s="38">
        <v>2010</v>
      </c>
      <c r="F88" s="38">
        <v>2011</v>
      </c>
      <c r="G88" s="38">
        <v>2012</v>
      </c>
      <c r="H88" s="38">
        <v>2013</v>
      </c>
      <c r="I88" s="38">
        <v>2014</v>
      </c>
      <c r="J88" s="38">
        <v>2015</v>
      </c>
      <c r="K88" s="38">
        <v>2016</v>
      </c>
      <c r="L88" s="38">
        <v>2017</v>
      </c>
      <c r="M88" s="38">
        <v>2018</v>
      </c>
      <c r="N88" s="38">
        <v>2019</v>
      </c>
      <c r="O88" s="38">
        <v>2020</v>
      </c>
      <c r="P88" s="38">
        <v>2021</v>
      </c>
      <c r="Q88" s="38">
        <v>2022</v>
      </c>
      <c r="R88" s="38">
        <v>2023</v>
      </c>
      <c r="S88" s="38">
        <v>2024</v>
      </c>
      <c r="T88" s="39" t="s">
        <v>373</v>
      </c>
      <c r="U88" s="39" t="s">
        <v>374</v>
      </c>
      <c r="V88" s="39" t="s">
        <v>375</v>
      </c>
    </row>
    <row r="89" spans="1:22" x14ac:dyDescent="0.25">
      <c r="A89" s="15" t="s">
        <v>360</v>
      </c>
      <c r="B89" s="16">
        <v>0.48598130841121495</v>
      </c>
      <c r="C89" s="41">
        <v>0.43956043956043955</v>
      </c>
      <c r="D89" s="41">
        <v>0.61971830985915488</v>
      </c>
      <c r="E89" s="41">
        <v>0.63793103448275867</v>
      </c>
      <c r="F89" s="41">
        <v>0.90625</v>
      </c>
      <c r="G89" s="41">
        <v>0.76595744680851063</v>
      </c>
      <c r="H89" s="41">
        <v>0.72727272727272729</v>
      </c>
      <c r="I89" s="41">
        <v>0.75862068965517238</v>
      </c>
      <c r="J89" s="41">
        <v>0.61764705882352944</v>
      </c>
      <c r="K89" s="41">
        <v>0.59701492537313428</v>
      </c>
      <c r="L89" s="41">
        <v>0.68292682926829273</v>
      </c>
      <c r="M89" s="41">
        <v>0.77215189873417722</v>
      </c>
      <c r="N89" s="41">
        <v>0.81707317073170727</v>
      </c>
      <c r="O89" s="41">
        <v>0.65853658536585369</v>
      </c>
      <c r="P89" s="41">
        <v>0.64220183486238536</v>
      </c>
      <c r="Q89" s="41">
        <v>0.75229357798165142</v>
      </c>
      <c r="R89" s="41">
        <v>0.83695652173913049</v>
      </c>
      <c r="S89" s="41">
        <v>0.84496124031007747</v>
      </c>
      <c r="T89" s="89">
        <f t="shared" ref="T89" si="11">(S89-J89)*100</f>
        <v>22.731418148654804</v>
      </c>
      <c r="U89" s="89">
        <f t="shared" ref="U89" si="12">(S89-O89)*100</f>
        <v>18.642465494422378</v>
      </c>
      <c r="V89" s="89">
        <f t="shared" ref="V89" si="13">(S89-R89)*100</f>
        <v>0.80047185709469781</v>
      </c>
    </row>
    <row r="90" spans="1:22" x14ac:dyDescent="0.25">
      <c r="A90" s="15" t="s">
        <v>238</v>
      </c>
      <c r="B90" s="16">
        <v>0.55339805825242716</v>
      </c>
      <c r="C90" s="41">
        <v>0.67592592592592593</v>
      </c>
      <c r="D90" s="41">
        <v>0.65909090909090906</v>
      </c>
      <c r="E90" s="41">
        <v>0.67741935483870963</v>
      </c>
      <c r="F90" s="41">
        <v>0.62127659574468086</v>
      </c>
      <c r="G90" s="41">
        <v>0.59512195121951217</v>
      </c>
      <c r="H90" s="41">
        <v>0.647887323943662</v>
      </c>
      <c r="I90" s="41">
        <v>0.55807365439093481</v>
      </c>
      <c r="J90" s="41">
        <v>0.67076167076167081</v>
      </c>
      <c r="K90" s="41">
        <v>0.70794824399260625</v>
      </c>
      <c r="L90" s="41">
        <v>0.69956140350877194</v>
      </c>
      <c r="M90" s="41">
        <v>0.68333333333333335</v>
      </c>
      <c r="N90" s="41">
        <v>0.65007541478129716</v>
      </c>
      <c r="O90" s="41">
        <v>0.6952908587257618</v>
      </c>
      <c r="P90" s="41">
        <v>0.77744807121661719</v>
      </c>
      <c r="Q90" s="41">
        <v>0.79857578840284837</v>
      </c>
      <c r="R90" s="41">
        <v>0.7927927927927928</v>
      </c>
      <c r="S90" s="41">
        <v>0.81593194122196444</v>
      </c>
      <c r="T90" s="89">
        <f t="shared" ref="T90:T98" si="14">(S90-J90)*100</f>
        <v>14.517027046029362</v>
      </c>
      <c r="U90" s="89">
        <f t="shared" ref="U90:U98" si="15">(S90-O90)*100</f>
        <v>12.064108249620265</v>
      </c>
      <c r="V90" s="89">
        <f t="shared" ref="V90:V98" si="16">(S90-R90)*100</f>
        <v>2.3139148429171641</v>
      </c>
    </row>
    <row r="91" spans="1:22" x14ac:dyDescent="0.25">
      <c r="A91" s="15" t="s">
        <v>310</v>
      </c>
      <c r="B91" s="41">
        <v>0.50980392156862742</v>
      </c>
      <c r="C91" s="41">
        <v>0.62483487450462349</v>
      </c>
      <c r="D91" s="41">
        <v>0.67984189723320154</v>
      </c>
      <c r="E91" s="41">
        <v>0.65081521739130432</v>
      </c>
      <c r="F91" s="41">
        <v>0.60224089635854339</v>
      </c>
      <c r="G91" s="41">
        <v>0.5876106194690266</v>
      </c>
      <c r="H91" s="41">
        <v>0.72027972027972031</v>
      </c>
      <c r="I91" s="41">
        <v>0.65074626865671636</v>
      </c>
      <c r="J91" s="41">
        <v>0.76859504132231404</v>
      </c>
      <c r="K91" s="41">
        <v>0.77777777777777779</v>
      </c>
      <c r="L91" s="41">
        <v>0.72294372294372289</v>
      </c>
      <c r="M91" s="41">
        <v>0.73488372093023258</v>
      </c>
      <c r="N91" s="41">
        <v>0.77314814814814814</v>
      </c>
      <c r="O91" s="41">
        <v>0.67080745341614911</v>
      </c>
      <c r="P91" s="41">
        <v>0.79828326180257514</v>
      </c>
      <c r="Q91" s="41">
        <v>0.84773662551440332</v>
      </c>
      <c r="R91" s="41">
        <v>0.81481481481481477</v>
      </c>
      <c r="S91" s="41">
        <v>0.81176470588235294</v>
      </c>
      <c r="T91" s="89">
        <f t="shared" si="14"/>
        <v>4.3169664560038896</v>
      </c>
      <c r="U91" s="89">
        <f t="shared" si="15"/>
        <v>14.095725246620383</v>
      </c>
      <c r="V91" s="89">
        <f t="shared" si="16"/>
        <v>-0.30501089324618258</v>
      </c>
    </row>
    <row r="92" spans="1:22" x14ac:dyDescent="0.25">
      <c r="A92" s="15" t="s">
        <v>350</v>
      </c>
      <c r="B92" s="16">
        <v>0.58174904942965777</v>
      </c>
      <c r="C92" s="41">
        <v>0.66984126984126979</v>
      </c>
      <c r="D92" s="41">
        <v>0.73051948051948057</v>
      </c>
      <c r="E92" s="41">
        <v>0.69580419580419584</v>
      </c>
      <c r="F92" s="41">
        <v>0.58369098712446355</v>
      </c>
      <c r="G92" s="41">
        <v>0.68421052631578949</v>
      </c>
      <c r="H92" s="41">
        <v>0.71777003484320556</v>
      </c>
      <c r="I92" s="41">
        <v>0.69884169884169889</v>
      </c>
      <c r="J92" s="41">
        <v>0.74117647058823533</v>
      </c>
      <c r="K92" s="41">
        <v>0.73972602739726023</v>
      </c>
      <c r="L92" s="41">
        <v>0.72682926829268291</v>
      </c>
      <c r="M92" s="41">
        <v>0.78125</v>
      </c>
      <c r="N92" s="41">
        <v>0.67195767195767198</v>
      </c>
      <c r="O92" s="41">
        <v>0.72258064516129028</v>
      </c>
      <c r="P92" s="41">
        <v>0.7931034482758621</v>
      </c>
      <c r="Q92" s="41">
        <v>0.72222222222222221</v>
      </c>
      <c r="R92" s="41">
        <v>0.76851851851851849</v>
      </c>
      <c r="S92" s="41">
        <v>0.78813559322033899</v>
      </c>
      <c r="T92" s="89">
        <f t="shared" si="14"/>
        <v>4.6959122632103671</v>
      </c>
      <c r="U92" s="89">
        <f t="shared" si="15"/>
        <v>6.5554948059048712</v>
      </c>
      <c r="V92" s="89">
        <f t="shared" si="16"/>
        <v>1.9617074701820503</v>
      </c>
    </row>
    <row r="93" spans="1:22" x14ac:dyDescent="0.25">
      <c r="A93" s="15" t="s">
        <v>49</v>
      </c>
      <c r="B93" s="41">
        <v>0.73043478260869565</v>
      </c>
      <c r="C93" s="41">
        <v>0.75937500000000002</v>
      </c>
      <c r="D93" s="41">
        <v>0.77184466019417475</v>
      </c>
      <c r="E93" s="41">
        <v>0.7634660421545667</v>
      </c>
      <c r="F93" s="41">
        <v>0.67630057803468213</v>
      </c>
      <c r="G93" s="41">
        <v>0.75</v>
      </c>
      <c r="H93" s="41">
        <v>0.73103448275862071</v>
      </c>
      <c r="I93" s="41">
        <v>0.70899470899470896</v>
      </c>
      <c r="J93" s="41">
        <v>0.7456828885400314</v>
      </c>
      <c r="K93" s="41">
        <v>0.75</v>
      </c>
      <c r="L93" s="41">
        <v>0.78409090909090906</v>
      </c>
      <c r="M93" s="41">
        <v>0.77971473851030115</v>
      </c>
      <c r="N93" s="41">
        <v>0.77118644067796616</v>
      </c>
      <c r="O93" s="41">
        <v>0.82421875</v>
      </c>
      <c r="P93" s="41">
        <v>0.80924855491329484</v>
      </c>
      <c r="Q93" s="41">
        <v>0.80729166666666663</v>
      </c>
      <c r="R93" s="41">
        <v>0.78991596638655459</v>
      </c>
      <c r="S93" s="41">
        <v>0.78558558558558556</v>
      </c>
      <c r="T93" s="89">
        <f t="shared" si="14"/>
        <v>3.9902697045554159</v>
      </c>
      <c r="U93" s="89">
        <f t="shared" si="15"/>
        <v>-3.8633164414414445</v>
      </c>
      <c r="V93" s="89">
        <f t="shared" si="16"/>
        <v>-0.43303808009690359</v>
      </c>
    </row>
    <row r="94" spans="1:22" x14ac:dyDescent="0.25">
      <c r="A94" s="15" t="s">
        <v>27</v>
      </c>
      <c r="B94" s="16">
        <v>0.57342657342657344</v>
      </c>
      <c r="C94" s="41">
        <v>0.76688453159041392</v>
      </c>
      <c r="D94" s="41">
        <v>0.76980198019801982</v>
      </c>
      <c r="E94" s="41">
        <v>0.73652694610778446</v>
      </c>
      <c r="F94" s="41">
        <v>0.67896311066799597</v>
      </c>
      <c r="G94" s="41">
        <v>0.67298105682951148</v>
      </c>
      <c r="H94" s="41">
        <v>0.65392781316348192</v>
      </c>
      <c r="I94" s="41">
        <v>0.66313763233878731</v>
      </c>
      <c r="J94" s="41">
        <v>0.66969972702456781</v>
      </c>
      <c r="K94" s="41">
        <v>0.70236966824644553</v>
      </c>
      <c r="L94" s="41">
        <v>0.70910698496905389</v>
      </c>
      <c r="M94" s="41">
        <v>0.75022222222222223</v>
      </c>
      <c r="N94" s="41">
        <v>0.7507836990595611</v>
      </c>
      <c r="O94" s="41">
        <v>0.74356775300171529</v>
      </c>
      <c r="P94" s="41">
        <v>0.73359073359073357</v>
      </c>
      <c r="Q94" s="41">
        <v>0.77104642014162073</v>
      </c>
      <c r="R94" s="41">
        <v>0.72093023255813948</v>
      </c>
      <c r="S94" s="41">
        <v>0.76388888888888884</v>
      </c>
      <c r="T94" s="89">
        <f t="shared" si="14"/>
        <v>9.4189161864321029</v>
      </c>
      <c r="U94" s="89">
        <f t="shared" si="15"/>
        <v>2.0321135887173547</v>
      </c>
      <c r="V94" s="89">
        <f t="shared" si="16"/>
        <v>4.2958656330749356</v>
      </c>
    </row>
    <row r="95" spans="1:22" x14ac:dyDescent="0.25">
      <c r="A95" s="15" t="s">
        <v>19</v>
      </c>
      <c r="B95" s="41">
        <v>0.69565217391304346</v>
      </c>
      <c r="C95" s="41">
        <v>0.67838125665601701</v>
      </c>
      <c r="D95" s="41">
        <v>0.72399020807833536</v>
      </c>
      <c r="E95" s="41">
        <v>0.71962215543151564</v>
      </c>
      <c r="F95" s="41">
        <v>0.72029102667744538</v>
      </c>
      <c r="G95" s="41">
        <v>0.70652570178636531</v>
      </c>
      <c r="H95" s="41">
        <v>0.72533225936367296</v>
      </c>
      <c r="I95" s="41">
        <v>0.68798809966530305</v>
      </c>
      <c r="J95" s="41">
        <v>0.72497402147558021</v>
      </c>
      <c r="K95" s="41">
        <v>0.77059182428309947</v>
      </c>
      <c r="L95" s="41">
        <v>0.75888754534461911</v>
      </c>
      <c r="M95" s="41">
        <v>0.78931750741839768</v>
      </c>
      <c r="N95" s="41">
        <v>0.76439089692101736</v>
      </c>
      <c r="O95" s="41">
        <v>0.75448376151236063</v>
      </c>
      <c r="P95" s="41">
        <v>0.75413533834586466</v>
      </c>
      <c r="Q95" s="41">
        <v>0.76273115220483645</v>
      </c>
      <c r="R95" s="41">
        <v>0.72540343571056742</v>
      </c>
      <c r="S95" s="41">
        <v>0.75830441249380265</v>
      </c>
      <c r="T95" s="89">
        <f t="shared" si="14"/>
        <v>3.3330391018222438</v>
      </c>
      <c r="U95" s="89">
        <f t="shared" si="15"/>
        <v>0.38206509814420198</v>
      </c>
      <c r="V95" s="89">
        <f t="shared" si="16"/>
        <v>3.2900976783235225</v>
      </c>
    </row>
    <row r="96" spans="1:22" x14ac:dyDescent="0.25">
      <c r="A96" s="15" t="s">
        <v>361</v>
      </c>
      <c r="B96" s="41" t="s">
        <v>62</v>
      </c>
      <c r="C96" s="41" t="s">
        <v>62</v>
      </c>
      <c r="D96" s="41" t="s">
        <v>62</v>
      </c>
      <c r="E96" s="41" t="s">
        <v>62</v>
      </c>
      <c r="F96" s="41" t="s">
        <v>62</v>
      </c>
      <c r="G96" s="41" t="s">
        <v>62</v>
      </c>
      <c r="H96" s="41" t="s">
        <v>62</v>
      </c>
      <c r="I96" s="41" t="s">
        <v>62</v>
      </c>
      <c r="J96" s="41" t="s">
        <v>62</v>
      </c>
      <c r="K96" s="41" t="s">
        <v>62</v>
      </c>
      <c r="L96" s="41" t="s">
        <v>62</v>
      </c>
      <c r="M96" s="41" t="s">
        <v>62</v>
      </c>
      <c r="N96" s="41" t="s">
        <v>62</v>
      </c>
      <c r="O96" s="41">
        <v>0.4838709677419355</v>
      </c>
      <c r="P96" s="41">
        <v>0.27272727272727271</v>
      </c>
      <c r="Q96" s="41">
        <v>0.57894736842105265</v>
      </c>
      <c r="R96" s="41">
        <v>0.69672131147540983</v>
      </c>
      <c r="S96" s="41">
        <v>0.75543478260869568</v>
      </c>
      <c r="T96" s="41" t="s">
        <v>62</v>
      </c>
      <c r="U96" s="89">
        <f t="shared" si="15"/>
        <v>27.156381486676018</v>
      </c>
      <c r="V96" s="89">
        <f t="shared" si="16"/>
        <v>5.8713471133285839</v>
      </c>
    </row>
    <row r="97" spans="1:22" x14ac:dyDescent="0.25">
      <c r="A97" s="15" t="s">
        <v>17</v>
      </c>
      <c r="B97" s="16">
        <v>0.60160614525139666</v>
      </c>
      <c r="C97" s="16">
        <v>0.619722073757349</v>
      </c>
      <c r="D97" s="16">
        <v>0.63371513944223112</v>
      </c>
      <c r="E97" s="16">
        <v>0.60661345496009123</v>
      </c>
      <c r="F97" s="16">
        <v>0.60230149597238203</v>
      </c>
      <c r="G97" s="16">
        <v>0.5930979133226324</v>
      </c>
      <c r="H97" s="16">
        <v>0.64630488137442055</v>
      </c>
      <c r="I97" s="16">
        <v>0.60668708524757531</v>
      </c>
      <c r="J97" s="16">
        <v>0.66921241050119329</v>
      </c>
      <c r="K97" s="16">
        <v>0.6596091205211726</v>
      </c>
      <c r="L97" s="16">
        <v>0.67975609756097566</v>
      </c>
      <c r="M97" s="16">
        <v>0.70145145145145149</v>
      </c>
      <c r="N97" s="16">
        <v>0.66206216082881109</v>
      </c>
      <c r="O97" s="16">
        <v>0.6402393418100224</v>
      </c>
      <c r="P97" s="41">
        <v>0.71576609918578826</v>
      </c>
      <c r="Q97" s="41">
        <v>0.74653098982423682</v>
      </c>
      <c r="R97" s="41">
        <v>0.77152863617634937</v>
      </c>
      <c r="S97" s="41">
        <v>0.75104560844453294</v>
      </c>
      <c r="T97" s="89">
        <f t="shared" si="14"/>
        <v>8.1833197943339648</v>
      </c>
      <c r="U97" s="89">
        <f t="shared" si="15"/>
        <v>11.080626663451055</v>
      </c>
      <c r="V97" s="89">
        <f t="shared" si="16"/>
        <v>-2.0483027731816428</v>
      </c>
    </row>
    <row r="98" spans="1:22" x14ac:dyDescent="0.25">
      <c r="A98" s="15" t="s">
        <v>376</v>
      </c>
      <c r="B98" s="16">
        <v>0</v>
      </c>
      <c r="C98" s="41">
        <v>0.79187817258883253</v>
      </c>
      <c r="D98" s="41">
        <v>0.83257918552036203</v>
      </c>
      <c r="E98" s="41">
        <v>0.76754385964912286</v>
      </c>
      <c r="F98" s="41">
        <v>0.76470588235294112</v>
      </c>
      <c r="G98" s="41">
        <v>0.77152317880794707</v>
      </c>
      <c r="H98" s="41">
        <v>0.6847133757961783</v>
      </c>
      <c r="I98" s="41">
        <v>0.66581632653061229</v>
      </c>
      <c r="J98" s="41">
        <v>0.78922716627634659</v>
      </c>
      <c r="K98" s="41">
        <v>0.76167076167076164</v>
      </c>
      <c r="L98" s="41">
        <v>0.77479892761394098</v>
      </c>
      <c r="M98" s="41">
        <v>0.85762711864406782</v>
      </c>
      <c r="N98" s="41">
        <v>0.71551724137931039</v>
      </c>
      <c r="O98" s="41">
        <v>0.79710144927536231</v>
      </c>
      <c r="P98" s="41">
        <v>0.69718309859154926</v>
      </c>
      <c r="Q98" s="41">
        <v>0.70992366412213737</v>
      </c>
      <c r="R98" s="41">
        <v>0.82857142857142863</v>
      </c>
      <c r="S98" s="41">
        <v>0.75087719298245614</v>
      </c>
      <c r="T98" s="89">
        <f t="shared" si="14"/>
        <v>-3.8349973293890449</v>
      </c>
      <c r="U98" s="89">
        <f t="shared" si="15"/>
        <v>-4.6224256292906158</v>
      </c>
      <c r="V98" s="89">
        <f t="shared" si="16"/>
        <v>-7.7694235588972482</v>
      </c>
    </row>
    <row r="99" spans="1:22" x14ac:dyDescent="0.25">
      <c r="A99" s="73" t="s">
        <v>410</v>
      </c>
      <c r="B99" s="36"/>
      <c r="C99" s="36"/>
      <c r="D99" s="36"/>
      <c r="E99" s="36"/>
      <c r="F99" s="36"/>
      <c r="G99" s="36"/>
    </row>
    <row r="100" spans="1:22" x14ac:dyDescent="0.25">
      <c r="A100" s="36"/>
      <c r="B100" s="36"/>
      <c r="C100" s="36"/>
      <c r="D100" s="36"/>
      <c r="E100" s="36"/>
      <c r="F100" s="36"/>
      <c r="G100" s="36"/>
    </row>
    <row r="101" spans="1:22" ht="18" x14ac:dyDescent="0.25">
      <c r="A101" s="11" t="s">
        <v>404</v>
      </c>
      <c r="B101" s="11"/>
      <c r="C101" s="11"/>
      <c r="D101" s="11"/>
      <c r="E101" s="11"/>
      <c r="F101" s="11"/>
      <c r="G101" s="11"/>
    </row>
    <row r="102" spans="1:22" ht="45" customHeight="1" x14ac:dyDescent="0.25">
      <c r="A102" s="14" t="s">
        <v>74</v>
      </c>
      <c r="B102" s="38">
        <v>2007</v>
      </c>
      <c r="C102" s="38">
        <v>2008</v>
      </c>
      <c r="D102" s="38">
        <v>2009</v>
      </c>
      <c r="E102" s="38">
        <v>2010</v>
      </c>
      <c r="F102" s="38">
        <v>2011</v>
      </c>
      <c r="G102" s="38">
        <v>2012</v>
      </c>
      <c r="H102" s="38">
        <v>2013</v>
      </c>
      <c r="I102" s="38">
        <v>2014</v>
      </c>
      <c r="J102" s="38">
        <v>2015</v>
      </c>
      <c r="K102" s="38">
        <v>2016</v>
      </c>
      <c r="L102" s="38">
        <v>2017</v>
      </c>
      <c r="M102" s="38">
        <v>2018</v>
      </c>
      <c r="N102" s="38">
        <v>2019</v>
      </c>
      <c r="O102" s="38">
        <v>2020</v>
      </c>
      <c r="P102" s="38">
        <v>2021</v>
      </c>
      <c r="Q102" s="38">
        <v>2022</v>
      </c>
      <c r="R102" s="38">
        <v>2023</v>
      </c>
      <c r="S102" s="38">
        <v>2024</v>
      </c>
      <c r="T102" s="39" t="s">
        <v>373</v>
      </c>
      <c r="U102" s="39" t="s">
        <v>374</v>
      </c>
      <c r="V102" s="39" t="s">
        <v>375</v>
      </c>
    </row>
    <row r="103" spans="1:22" x14ac:dyDescent="0.25">
      <c r="A103" s="15" t="s">
        <v>24</v>
      </c>
      <c r="B103" s="16">
        <v>0.58166189111747846</v>
      </c>
      <c r="C103" s="16">
        <v>0.59786950732356858</v>
      </c>
      <c r="D103" s="16">
        <v>0.60301507537688437</v>
      </c>
      <c r="E103" s="16">
        <v>0.58127572016460904</v>
      </c>
      <c r="F103" s="16">
        <v>0.58529111338100104</v>
      </c>
      <c r="G103" s="16">
        <v>0.60804490177736203</v>
      </c>
      <c r="H103" s="16">
        <v>0.64458300857365547</v>
      </c>
      <c r="I103" s="16">
        <v>0.65079365079365081</v>
      </c>
      <c r="J103" s="16">
        <v>0.64935064935064934</v>
      </c>
      <c r="K103" s="16">
        <v>0.68369987063389392</v>
      </c>
      <c r="L103" s="16">
        <v>0.71513706793802145</v>
      </c>
      <c r="M103" s="16">
        <v>0.69388920616790406</v>
      </c>
      <c r="N103" s="16">
        <v>0.68202502844141066</v>
      </c>
      <c r="O103" s="16">
        <v>0.60477611940298504</v>
      </c>
      <c r="P103" s="16">
        <v>0.6332429990966576</v>
      </c>
      <c r="Q103" s="16">
        <v>0.69073405535499399</v>
      </c>
      <c r="R103" s="16">
        <v>0.65799256505576209</v>
      </c>
      <c r="S103" s="16">
        <v>0.65476190476190477</v>
      </c>
      <c r="T103" s="89">
        <f t="shared" ref="T103:T112" si="17">(S103-J103)*100</f>
        <v>0.54112554112554223</v>
      </c>
      <c r="U103" s="89">
        <f t="shared" ref="U103:U112" si="18">(S103-O103)*100</f>
        <v>4.9985785358919728</v>
      </c>
      <c r="V103" s="89">
        <f t="shared" ref="V103:V112" si="19">(S103-R103)*100</f>
        <v>-0.32306602938573237</v>
      </c>
    </row>
    <row r="104" spans="1:22" x14ac:dyDescent="0.25">
      <c r="A104" s="15" t="s">
        <v>382</v>
      </c>
      <c r="B104" s="16">
        <v>0.49944382647385982</v>
      </c>
      <c r="C104" s="16">
        <v>0.63176064441887225</v>
      </c>
      <c r="D104" s="16">
        <v>0.64152700186219735</v>
      </c>
      <c r="E104" s="16">
        <v>0.61560418648905801</v>
      </c>
      <c r="F104" s="16">
        <v>0.58559622195985828</v>
      </c>
      <c r="G104" s="16">
        <v>0.60439560439560436</v>
      </c>
      <c r="H104" s="16">
        <v>0.64714714714714716</v>
      </c>
      <c r="I104" s="16">
        <v>0.55535714285714288</v>
      </c>
      <c r="J104" s="16">
        <v>0.67493796526054595</v>
      </c>
      <c r="K104" s="16">
        <v>0.66106442577030811</v>
      </c>
      <c r="L104" s="16">
        <v>0.63754045307443363</v>
      </c>
      <c r="M104" s="16">
        <v>0.71698113207547165</v>
      </c>
      <c r="N104" s="16">
        <v>0.73563218390804597</v>
      </c>
      <c r="O104" s="16">
        <v>0.66055045871559637</v>
      </c>
      <c r="P104" s="16">
        <v>0.58715596330275233</v>
      </c>
      <c r="Q104" s="16">
        <v>0.74285714285714288</v>
      </c>
      <c r="R104" s="16">
        <v>0.63749999999999996</v>
      </c>
      <c r="S104" s="16">
        <v>0.65289256198347112</v>
      </c>
      <c r="T104" s="89">
        <f t="shared" si="17"/>
        <v>-2.2045403277074826</v>
      </c>
      <c r="U104" s="89">
        <f t="shared" si="18"/>
        <v>-0.76578967321252467</v>
      </c>
      <c r="V104" s="89">
        <f t="shared" si="19"/>
        <v>1.5392561983471165</v>
      </c>
    </row>
    <row r="105" spans="1:22" x14ac:dyDescent="0.25">
      <c r="A105" s="15" t="s">
        <v>381</v>
      </c>
      <c r="B105" s="16">
        <v>0.54032258064516125</v>
      </c>
      <c r="C105" s="16">
        <v>0.6863636363636364</v>
      </c>
      <c r="D105" s="16">
        <v>0.69696969696969702</v>
      </c>
      <c r="E105" s="16">
        <v>0.69611307420494695</v>
      </c>
      <c r="F105" s="16">
        <v>0.65506329113924056</v>
      </c>
      <c r="G105" s="16">
        <v>0.67979002624671914</v>
      </c>
      <c r="H105" s="16">
        <v>0.63360000000000005</v>
      </c>
      <c r="I105" s="16">
        <v>0.6480519480519481</v>
      </c>
      <c r="J105" s="16">
        <v>0.59659090909090906</v>
      </c>
      <c r="K105" s="16">
        <v>0.62014787430683915</v>
      </c>
      <c r="L105" s="16">
        <v>0.58885686839577334</v>
      </c>
      <c r="M105" s="16">
        <v>0.63932448733413749</v>
      </c>
      <c r="N105" s="16">
        <v>0.62099125364431484</v>
      </c>
      <c r="O105" s="16">
        <v>0.60362173038229372</v>
      </c>
      <c r="P105" s="16">
        <v>0.61447811447811451</v>
      </c>
      <c r="Q105" s="16">
        <v>0.64649681528662417</v>
      </c>
      <c r="R105" s="16">
        <v>0.70515463917525778</v>
      </c>
      <c r="S105" s="16">
        <v>0.65183246073298429</v>
      </c>
      <c r="T105" s="89">
        <f t="shared" si="17"/>
        <v>5.5241551642075226</v>
      </c>
      <c r="U105" s="89">
        <f t="shared" si="18"/>
        <v>4.8210730350690572</v>
      </c>
      <c r="V105" s="89">
        <f t="shared" si="19"/>
        <v>-5.3322178442273493</v>
      </c>
    </row>
    <row r="106" spans="1:22" x14ac:dyDescent="0.25">
      <c r="A106" s="15" t="s">
        <v>20</v>
      </c>
      <c r="B106" s="16">
        <v>0.54229432213209738</v>
      </c>
      <c r="C106" s="16">
        <v>0.55282331511839711</v>
      </c>
      <c r="D106" s="16">
        <v>0.56133828996282531</v>
      </c>
      <c r="E106" s="16">
        <v>0.54362934362934368</v>
      </c>
      <c r="F106" s="16">
        <v>0.58357558139534882</v>
      </c>
      <c r="G106" s="16">
        <v>0.59079283887468026</v>
      </c>
      <c r="H106" s="16">
        <v>0.56774916013437848</v>
      </c>
      <c r="I106" s="16">
        <v>0.59768907563025209</v>
      </c>
      <c r="J106" s="16">
        <v>0.59136047666335645</v>
      </c>
      <c r="K106" s="16">
        <v>0.57949159844894438</v>
      </c>
      <c r="L106" s="16">
        <v>0.56774697383834438</v>
      </c>
      <c r="M106" s="16">
        <v>0.58985507246376812</v>
      </c>
      <c r="N106" s="16">
        <v>0.53040540540540537</v>
      </c>
      <c r="O106" s="16">
        <v>0.55035460992907803</v>
      </c>
      <c r="P106" s="16">
        <v>0.56089108910891095</v>
      </c>
      <c r="Q106" s="16">
        <v>0.60756972111553786</v>
      </c>
      <c r="R106" s="16">
        <v>0.6111702127659574</v>
      </c>
      <c r="S106" s="16">
        <v>0.63514804202483288</v>
      </c>
      <c r="T106" s="89">
        <f t="shared" si="17"/>
        <v>4.3787565361476428</v>
      </c>
      <c r="U106" s="89">
        <f t="shared" si="18"/>
        <v>8.4793432095754859</v>
      </c>
      <c r="V106" s="89">
        <f t="shared" si="19"/>
        <v>2.3977829258875483</v>
      </c>
    </row>
    <row r="107" spans="1:22" x14ac:dyDescent="0.25">
      <c r="A107" s="15" t="s">
        <v>380</v>
      </c>
      <c r="B107" s="16">
        <v>0.58581235697940504</v>
      </c>
      <c r="C107" s="16">
        <v>0.58724202626641653</v>
      </c>
      <c r="D107" s="16">
        <v>0.68118811881188124</v>
      </c>
      <c r="E107" s="16">
        <v>0.61327231121281467</v>
      </c>
      <c r="F107" s="16">
        <v>0.60200668896321075</v>
      </c>
      <c r="G107" s="16">
        <v>0.61986301369863017</v>
      </c>
      <c r="H107" s="16">
        <v>0.60991735537190084</v>
      </c>
      <c r="I107" s="16">
        <v>0.60812772133526849</v>
      </c>
      <c r="J107" s="16">
        <v>0.62464985994397759</v>
      </c>
      <c r="K107" s="16">
        <v>0.65</v>
      </c>
      <c r="L107" s="16">
        <v>0.71465295629820047</v>
      </c>
      <c r="M107" s="16">
        <v>0.6565040650406504</v>
      </c>
      <c r="N107" s="16">
        <v>0.58223684210526316</v>
      </c>
      <c r="O107" s="16">
        <v>0.5575620767494357</v>
      </c>
      <c r="P107" s="16">
        <v>0.6354679802955665</v>
      </c>
      <c r="Q107" s="16">
        <v>0.59663865546218486</v>
      </c>
      <c r="R107" s="16">
        <v>0.6018957345971564</v>
      </c>
      <c r="S107" s="16">
        <v>0.63137996219281667</v>
      </c>
      <c r="T107" s="89">
        <f t="shared" si="17"/>
        <v>0.6730102248839076</v>
      </c>
      <c r="U107" s="89">
        <f t="shared" si="18"/>
        <v>7.3817885443380966</v>
      </c>
      <c r="V107" s="89">
        <f t="shared" si="19"/>
        <v>2.9484227595660273</v>
      </c>
    </row>
    <row r="108" spans="1:22" x14ac:dyDescent="0.25">
      <c r="A108" s="15" t="s">
        <v>367</v>
      </c>
      <c r="B108" s="16">
        <v>0.5714285714285714</v>
      </c>
      <c r="C108" s="16">
        <v>0.58947368421052626</v>
      </c>
      <c r="D108" s="16">
        <v>0.60256410256410253</v>
      </c>
      <c r="E108" s="16">
        <v>0.73684210526315785</v>
      </c>
      <c r="F108" s="16">
        <v>0.64948453608247425</v>
      </c>
      <c r="G108" s="16">
        <v>0.72222222222222221</v>
      </c>
      <c r="H108" s="16">
        <v>0.53260869565217395</v>
      </c>
      <c r="I108" s="16">
        <v>0.75</v>
      </c>
      <c r="J108" s="16">
        <v>0.73972602739726023</v>
      </c>
      <c r="K108" s="16">
        <v>0.7466666666666667</v>
      </c>
      <c r="L108" s="16">
        <v>0.67532467532467533</v>
      </c>
      <c r="M108" s="16">
        <v>0.7567567567567568</v>
      </c>
      <c r="N108" s="16">
        <v>0.74117647058823533</v>
      </c>
      <c r="O108" s="16">
        <v>0.63076923076923075</v>
      </c>
      <c r="P108" s="16">
        <v>0.625</v>
      </c>
      <c r="Q108" s="16">
        <v>0.6785714285714286</v>
      </c>
      <c r="R108" s="16">
        <v>0.75</v>
      </c>
      <c r="S108" s="16">
        <v>0.61951219512195121</v>
      </c>
      <c r="T108" s="89">
        <f t="shared" si="17"/>
        <v>-12.021383227530901</v>
      </c>
      <c r="U108" s="89">
        <f t="shared" si="18"/>
        <v>-1.1257035647279534</v>
      </c>
      <c r="V108" s="89">
        <f t="shared" si="19"/>
        <v>-13.048780487804878</v>
      </c>
    </row>
    <row r="109" spans="1:22" x14ac:dyDescent="0.25">
      <c r="A109" s="15" t="s">
        <v>379</v>
      </c>
      <c r="B109" s="16">
        <v>0.36842105263157893</v>
      </c>
      <c r="C109" s="41" t="s">
        <v>62</v>
      </c>
      <c r="D109" s="41" t="s">
        <v>62</v>
      </c>
      <c r="E109" s="41" t="s">
        <v>62</v>
      </c>
      <c r="F109" s="41" t="s">
        <v>62</v>
      </c>
      <c r="G109" s="16">
        <v>0.42307692307692307</v>
      </c>
      <c r="H109" s="16">
        <v>0.65517241379310343</v>
      </c>
      <c r="I109" s="16">
        <v>0.58333333333333337</v>
      </c>
      <c r="J109" s="16">
        <v>0.61052631578947369</v>
      </c>
      <c r="K109" s="16">
        <v>0.62962962962962965</v>
      </c>
      <c r="L109" s="16">
        <v>0.6470588235294118</v>
      </c>
      <c r="M109" s="16">
        <v>0.68765743073047858</v>
      </c>
      <c r="N109" s="16">
        <v>0.70263788968824936</v>
      </c>
      <c r="O109" s="16">
        <v>0.71693121693121697</v>
      </c>
      <c r="P109" s="16">
        <v>0.63736263736263732</v>
      </c>
      <c r="Q109" s="16">
        <v>0.62307692307692308</v>
      </c>
      <c r="R109" s="16">
        <v>0.54655870445344135</v>
      </c>
      <c r="S109" s="16">
        <v>0.61538461538461542</v>
      </c>
      <c r="T109" s="89">
        <f t="shared" si="17"/>
        <v>0.4858299595141724</v>
      </c>
      <c r="U109" s="89">
        <f t="shared" si="18"/>
        <v>-10.154660154660156</v>
      </c>
      <c r="V109" s="89">
        <f t="shared" si="19"/>
        <v>6.8825910931174068</v>
      </c>
    </row>
    <row r="110" spans="1:22" x14ac:dyDescent="0.25">
      <c r="A110" s="15" t="s">
        <v>378</v>
      </c>
      <c r="B110" s="16">
        <v>0.39130434782608697</v>
      </c>
      <c r="C110" s="16">
        <v>0.60869565217391308</v>
      </c>
      <c r="D110" s="16">
        <v>0.33333333333333331</v>
      </c>
      <c r="E110" s="16">
        <v>0.42553191489361702</v>
      </c>
      <c r="F110" s="16">
        <v>0.375</v>
      </c>
      <c r="G110" s="16">
        <v>0.52631578947368418</v>
      </c>
      <c r="H110" s="16">
        <v>0.44444444444444442</v>
      </c>
      <c r="I110" s="16">
        <v>0.40816326530612246</v>
      </c>
      <c r="J110" s="16">
        <v>0.6271186440677966</v>
      </c>
      <c r="K110" s="16">
        <v>0.41666666666666669</v>
      </c>
      <c r="L110" s="16">
        <v>0.70370370370370372</v>
      </c>
      <c r="M110" s="16">
        <v>0.55172413793103448</v>
      </c>
      <c r="N110" s="16">
        <v>0.484375</v>
      </c>
      <c r="O110" s="16">
        <v>0.54</v>
      </c>
      <c r="P110" s="16">
        <v>0.55769230769230771</v>
      </c>
      <c r="Q110" s="16">
        <v>0.51351351351351349</v>
      </c>
      <c r="R110" s="16">
        <v>0.45454545454545453</v>
      </c>
      <c r="S110" s="16">
        <v>0.61344537815126055</v>
      </c>
      <c r="T110" s="89">
        <f t="shared" si="17"/>
        <v>-1.3673265916536059</v>
      </c>
      <c r="U110" s="89">
        <f t="shared" si="18"/>
        <v>7.344537815126051</v>
      </c>
      <c r="V110" s="89">
        <f t="shared" si="19"/>
        <v>15.889992360580601</v>
      </c>
    </row>
    <row r="111" spans="1:22" x14ac:dyDescent="0.25">
      <c r="A111" s="15" t="s">
        <v>369</v>
      </c>
      <c r="B111" s="16">
        <v>0.56923076923076921</v>
      </c>
      <c r="C111" s="16">
        <v>0.62325581395348839</v>
      </c>
      <c r="D111" s="16">
        <v>0.58878504672897192</v>
      </c>
      <c r="E111" s="16">
        <v>0.625</v>
      </c>
      <c r="F111" s="16">
        <v>0.57971014492753625</v>
      </c>
      <c r="G111" s="16">
        <v>0.54245283018867929</v>
      </c>
      <c r="H111" s="16">
        <v>0.59905660377358494</v>
      </c>
      <c r="I111" s="16">
        <v>0.7</v>
      </c>
      <c r="J111" s="16">
        <v>0.65240641711229952</v>
      </c>
      <c r="K111" s="16">
        <v>0.65934065934065933</v>
      </c>
      <c r="L111" s="16">
        <v>0.62091503267973858</v>
      </c>
      <c r="M111" s="16">
        <v>0.63276836158192096</v>
      </c>
      <c r="N111" s="16">
        <v>0.62295081967213117</v>
      </c>
      <c r="O111" s="16">
        <v>0.55172413793103448</v>
      </c>
      <c r="P111" s="16">
        <v>0.6</v>
      </c>
      <c r="Q111" s="16">
        <v>0.68421052631578949</v>
      </c>
      <c r="R111" s="16">
        <v>0.66666666666666663</v>
      </c>
      <c r="S111" s="16">
        <v>0.61276595744680851</v>
      </c>
      <c r="T111" s="89">
        <f t="shared" si="17"/>
        <v>-3.9640459665491012</v>
      </c>
      <c r="U111" s="89">
        <f t="shared" si="18"/>
        <v>6.1041819515774032</v>
      </c>
      <c r="V111" s="89">
        <f t="shared" si="19"/>
        <v>-5.3900709219858118</v>
      </c>
    </row>
    <row r="112" spans="1:22" x14ac:dyDescent="0.25">
      <c r="A112" s="15" t="s">
        <v>353</v>
      </c>
      <c r="B112" s="16">
        <v>0.78846153846153844</v>
      </c>
      <c r="C112" s="16">
        <v>0.64</v>
      </c>
      <c r="D112" s="16">
        <v>0.5</v>
      </c>
      <c r="E112" s="16">
        <v>0.5</v>
      </c>
      <c r="F112" s="41" t="s">
        <v>62</v>
      </c>
      <c r="G112" s="41" t="s">
        <v>62</v>
      </c>
      <c r="H112" s="41" t="s">
        <v>62</v>
      </c>
      <c r="I112" s="16">
        <v>0.68421052631578949</v>
      </c>
      <c r="J112" s="16">
        <v>0.82352941176470584</v>
      </c>
      <c r="K112" s="16">
        <v>0.65277777777777779</v>
      </c>
      <c r="L112" s="16">
        <v>0.77108433734939763</v>
      </c>
      <c r="M112" s="16">
        <v>0.64358974358974363</v>
      </c>
      <c r="N112" s="16">
        <v>0.64615384615384619</v>
      </c>
      <c r="O112" s="16">
        <v>0.54128440366972475</v>
      </c>
      <c r="P112" s="16">
        <v>0.6155988857938719</v>
      </c>
      <c r="Q112" s="16">
        <v>0.6845070422535211</v>
      </c>
      <c r="R112" s="16">
        <v>0.61375661375661372</v>
      </c>
      <c r="S112" s="16">
        <v>0.60580912863070535</v>
      </c>
      <c r="T112" s="89">
        <f t="shared" si="17"/>
        <v>-21.77202831340005</v>
      </c>
      <c r="U112" s="89">
        <f t="shared" si="18"/>
        <v>6.4524724960980606</v>
      </c>
      <c r="V112" s="89">
        <f t="shared" si="19"/>
        <v>-0.79474851259083712</v>
      </c>
    </row>
    <row r="113" spans="1:22" x14ac:dyDescent="0.25">
      <c r="A113" s="73" t="s">
        <v>410</v>
      </c>
      <c r="B113" s="36"/>
      <c r="C113" s="36"/>
      <c r="D113" s="36"/>
      <c r="E113" s="36"/>
      <c r="F113" s="36"/>
      <c r="G113" s="3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87"/>
      <c r="U113" s="87"/>
      <c r="V113" s="88"/>
    </row>
    <row r="114" spans="1:22" x14ac:dyDescent="0.25">
      <c r="A114" s="8"/>
      <c r="B114" s="8"/>
      <c r="C114" s="8"/>
      <c r="D114" s="8"/>
      <c r="E114" s="8"/>
      <c r="F114" s="8"/>
      <c r="G114" s="8"/>
    </row>
    <row r="115" spans="1:22" ht="18" x14ac:dyDescent="0.25">
      <c r="A115" s="11" t="s">
        <v>405</v>
      </c>
      <c r="B115" s="11"/>
      <c r="C115" s="11"/>
      <c r="D115" s="11"/>
      <c r="E115" s="11"/>
      <c r="F115" s="11"/>
      <c r="G115" s="11"/>
    </row>
    <row r="116" spans="1:22" ht="45" customHeight="1" x14ac:dyDescent="0.25">
      <c r="A116" s="14" t="s">
        <v>75</v>
      </c>
      <c r="B116" s="38">
        <v>2007</v>
      </c>
      <c r="C116" s="38">
        <v>2008</v>
      </c>
      <c r="D116" s="38">
        <v>2009</v>
      </c>
      <c r="E116" s="38">
        <v>2010</v>
      </c>
      <c r="F116" s="38">
        <v>2011</v>
      </c>
      <c r="G116" s="38">
        <v>2012</v>
      </c>
      <c r="H116" s="38">
        <v>2013</v>
      </c>
      <c r="I116" s="38">
        <v>2014</v>
      </c>
      <c r="J116" s="38">
        <v>2015</v>
      </c>
      <c r="K116" s="38">
        <v>2016</v>
      </c>
      <c r="L116" s="38">
        <v>2017</v>
      </c>
      <c r="M116" s="38">
        <v>2018</v>
      </c>
      <c r="N116" s="38">
        <v>2019</v>
      </c>
      <c r="O116" s="38">
        <v>2020</v>
      </c>
      <c r="P116" s="38">
        <v>2021</v>
      </c>
      <c r="Q116" s="38">
        <v>2022</v>
      </c>
      <c r="R116" s="38">
        <v>2023</v>
      </c>
      <c r="S116" s="38">
        <v>2024</v>
      </c>
      <c r="T116" s="39" t="s">
        <v>373</v>
      </c>
      <c r="U116" s="39" t="s">
        <v>374</v>
      </c>
      <c r="V116" s="39" t="s">
        <v>375</v>
      </c>
    </row>
    <row r="117" spans="1:22" x14ac:dyDescent="0.25">
      <c r="A117" s="15" t="s">
        <v>329</v>
      </c>
      <c r="B117" s="16" t="s">
        <v>62</v>
      </c>
      <c r="C117" s="16" t="s">
        <v>62</v>
      </c>
      <c r="D117" s="16" t="s">
        <v>62</v>
      </c>
      <c r="E117" s="16">
        <v>0.7</v>
      </c>
      <c r="F117" s="16">
        <v>0.52631578947368418</v>
      </c>
      <c r="G117" s="16">
        <v>0.27777777777777779</v>
      </c>
      <c r="H117" s="16" t="s">
        <v>62</v>
      </c>
      <c r="I117" s="16" t="s">
        <v>62</v>
      </c>
      <c r="J117" s="16" t="s">
        <v>62</v>
      </c>
      <c r="K117" s="16" t="s">
        <v>62</v>
      </c>
      <c r="L117" s="16" t="s">
        <v>62</v>
      </c>
      <c r="M117" s="16">
        <v>0.88235294117647056</v>
      </c>
      <c r="N117" s="16">
        <v>0.66666666666666663</v>
      </c>
      <c r="O117" s="16">
        <v>0.66666666666666663</v>
      </c>
      <c r="P117" s="16" t="s">
        <v>62</v>
      </c>
      <c r="Q117" s="16">
        <v>0.8393782383419689</v>
      </c>
      <c r="R117" s="16">
        <v>0.82352941176470584</v>
      </c>
      <c r="S117" s="16">
        <v>0.84615384615384615</v>
      </c>
      <c r="T117" s="16" t="s">
        <v>62</v>
      </c>
      <c r="U117" s="89">
        <f t="shared" ref="U117" si="20">(S117-O117)*100</f>
        <v>17.948717948717952</v>
      </c>
      <c r="V117" s="89">
        <f t="shared" ref="V117" si="21">(S117-R117)*100</f>
        <v>2.2624434389140302</v>
      </c>
    </row>
    <row r="118" spans="1:22" x14ac:dyDescent="0.25">
      <c r="A118" s="15" t="s">
        <v>352</v>
      </c>
      <c r="B118" s="16">
        <v>0.81176470588235294</v>
      </c>
      <c r="C118" s="16">
        <v>0.81764705882352939</v>
      </c>
      <c r="D118" s="16">
        <v>0.86549707602339176</v>
      </c>
      <c r="E118" s="16">
        <v>0.83980582524271841</v>
      </c>
      <c r="F118" s="16">
        <v>0.7931034482758621</v>
      </c>
      <c r="G118" s="16">
        <v>0.73684210526315785</v>
      </c>
      <c r="H118" s="16">
        <v>0.79865771812080533</v>
      </c>
      <c r="I118" s="16">
        <v>0.75247524752475248</v>
      </c>
      <c r="J118" s="16">
        <v>0.75903614457831325</v>
      </c>
      <c r="K118" s="16">
        <v>0.79746835443037978</v>
      </c>
      <c r="L118" s="16">
        <v>0.85624999999999996</v>
      </c>
      <c r="M118" s="16">
        <v>0.87969924812030076</v>
      </c>
      <c r="N118" s="16">
        <v>0.77922077922077926</v>
      </c>
      <c r="O118" s="16">
        <v>0.82758620689655171</v>
      </c>
      <c r="P118" s="16">
        <v>0.8176100628930818</v>
      </c>
      <c r="Q118" s="16">
        <v>0.81111111111111112</v>
      </c>
      <c r="R118" s="16">
        <v>0.79899497487437188</v>
      </c>
      <c r="S118" s="16">
        <v>0.83734939759036142</v>
      </c>
      <c r="T118" s="89">
        <f t="shared" ref="T118:T126" si="22">(S118-J118)*100</f>
        <v>7.8313253012048172</v>
      </c>
      <c r="U118" s="89">
        <f t="shared" ref="U118:U126" si="23">(S118-O118)*100</f>
        <v>0.97631906938097091</v>
      </c>
      <c r="V118" s="89">
        <f t="shared" ref="V118:V126" si="24">(S118-R118)*100</f>
        <v>3.8354422715989545</v>
      </c>
    </row>
    <row r="119" spans="1:22" x14ac:dyDescent="0.25">
      <c r="A119" s="15" t="s">
        <v>362</v>
      </c>
      <c r="B119" s="16">
        <v>0.57798165137614677</v>
      </c>
      <c r="C119" s="16">
        <v>0.62654320987654322</v>
      </c>
      <c r="D119" s="16">
        <v>0.63888888888888884</v>
      </c>
      <c r="E119" s="16">
        <v>0.67197452229299359</v>
      </c>
      <c r="F119" s="16">
        <v>0.67448680351906154</v>
      </c>
      <c r="G119" s="16">
        <v>0.62704918032786883</v>
      </c>
      <c r="H119" s="16">
        <v>0.67148014440433212</v>
      </c>
      <c r="I119" s="16">
        <v>0.65886287625418061</v>
      </c>
      <c r="J119" s="16">
        <v>0.64918032786885249</v>
      </c>
      <c r="K119" s="16">
        <v>0.72246696035242286</v>
      </c>
      <c r="L119" s="16">
        <v>0.7219101123595506</v>
      </c>
      <c r="M119" s="16">
        <v>0.78701825557809335</v>
      </c>
      <c r="N119" s="16">
        <v>0.77059773828756062</v>
      </c>
      <c r="O119" s="16">
        <v>0.67117988394584138</v>
      </c>
      <c r="P119" s="16">
        <v>0.7583333333333333</v>
      </c>
      <c r="Q119" s="16">
        <v>0.77450980392156865</v>
      </c>
      <c r="R119" s="16">
        <v>0.79661016949152541</v>
      </c>
      <c r="S119" s="16">
        <v>0.8302583025830258</v>
      </c>
      <c r="T119" s="89">
        <f t="shared" si="22"/>
        <v>18.107797471417332</v>
      </c>
      <c r="U119" s="89">
        <f t="shared" si="23"/>
        <v>15.907841863718442</v>
      </c>
      <c r="V119" s="89">
        <f t="shared" si="24"/>
        <v>3.3648133091500387</v>
      </c>
    </row>
    <row r="120" spans="1:22" x14ac:dyDescent="0.25">
      <c r="A120" s="15" t="s">
        <v>291</v>
      </c>
      <c r="B120" s="16">
        <v>0.73001776198934276</v>
      </c>
      <c r="C120" s="16">
        <v>0.71964461994077</v>
      </c>
      <c r="D120" s="16">
        <v>0.70760233918128657</v>
      </c>
      <c r="E120" s="16">
        <v>0.66828087167070216</v>
      </c>
      <c r="F120" s="16">
        <v>0.68435251798561147</v>
      </c>
      <c r="G120" s="16">
        <v>0.69654528478057887</v>
      </c>
      <c r="H120" s="16">
        <v>0.69339622641509435</v>
      </c>
      <c r="I120" s="16">
        <v>0.71402714932126699</v>
      </c>
      <c r="J120" s="16">
        <v>0.76718213058419249</v>
      </c>
      <c r="K120" s="16">
        <v>0.77777777777777779</v>
      </c>
      <c r="L120" s="16">
        <v>0.77727566171723694</v>
      </c>
      <c r="M120" s="16">
        <v>0.82714468629961591</v>
      </c>
      <c r="N120" s="16">
        <v>0.76264128494943484</v>
      </c>
      <c r="O120" s="16">
        <v>0.74738139248305602</v>
      </c>
      <c r="P120" s="16">
        <v>0.80100755667506296</v>
      </c>
      <c r="Q120" s="16">
        <v>0.84038353073886074</v>
      </c>
      <c r="R120" s="16">
        <v>0.847255369928401</v>
      </c>
      <c r="S120" s="16">
        <v>0.83021010789324245</v>
      </c>
      <c r="T120" s="89">
        <f t="shared" si="22"/>
        <v>6.302797730904997</v>
      </c>
      <c r="U120" s="89">
        <f t="shared" si="23"/>
        <v>8.2828715410186433</v>
      </c>
      <c r="V120" s="89">
        <f t="shared" si="24"/>
        <v>-1.7045262035158548</v>
      </c>
    </row>
    <row r="121" spans="1:22" x14ac:dyDescent="0.25">
      <c r="A121" s="15" t="s">
        <v>238</v>
      </c>
      <c r="B121" s="16">
        <v>0.64779874213836475</v>
      </c>
      <c r="C121" s="16">
        <v>0.56739811912225702</v>
      </c>
      <c r="D121" s="16">
        <v>0.55205047318611988</v>
      </c>
      <c r="E121" s="16">
        <v>0.68055555555555558</v>
      </c>
      <c r="F121" s="16">
        <v>0.71031746031746035</v>
      </c>
      <c r="G121" s="16">
        <v>0.71293375394321767</v>
      </c>
      <c r="H121" s="16">
        <v>0.72523961661341851</v>
      </c>
      <c r="I121" s="16">
        <v>0.6785714285714286</v>
      </c>
      <c r="J121" s="16">
        <v>0.7007575757575758</v>
      </c>
      <c r="K121" s="16">
        <v>0.80147058823529416</v>
      </c>
      <c r="L121" s="16">
        <v>0.8359375</v>
      </c>
      <c r="M121" s="16">
        <v>0.80237154150197632</v>
      </c>
      <c r="N121" s="16">
        <v>0.81355932203389836</v>
      </c>
      <c r="O121" s="16">
        <v>0.81889763779527558</v>
      </c>
      <c r="P121" s="16">
        <v>0.81016949152542372</v>
      </c>
      <c r="Q121" s="16">
        <v>0.80480480480480476</v>
      </c>
      <c r="R121" s="16">
        <v>0.85053380782918153</v>
      </c>
      <c r="S121" s="16">
        <v>0.82485029940119758</v>
      </c>
      <c r="T121" s="89">
        <f t="shared" si="22"/>
        <v>12.409272364362177</v>
      </c>
      <c r="U121" s="89">
        <f t="shared" si="23"/>
        <v>0.5952661605922005</v>
      </c>
      <c r="V121" s="89">
        <f t="shared" si="24"/>
        <v>-2.5683508427983948</v>
      </c>
    </row>
    <row r="122" spans="1:22" x14ac:dyDescent="0.25">
      <c r="A122" s="15" t="s">
        <v>313</v>
      </c>
      <c r="B122" s="16">
        <v>0.62346938775510208</v>
      </c>
      <c r="C122" s="16">
        <v>0.63612791702679339</v>
      </c>
      <c r="D122" s="16">
        <v>0.64279069767441865</v>
      </c>
      <c r="E122" s="16">
        <v>0.66930693069306935</v>
      </c>
      <c r="F122" s="16">
        <v>0.58079096045197742</v>
      </c>
      <c r="G122" s="16">
        <v>0.62609970674486803</v>
      </c>
      <c r="H122" s="16">
        <v>0.64950980392156865</v>
      </c>
      <c r="I122" s="16">
        <v>0.71202531645569622</v>
      </c>
      <c r="J122" s="16">
        <v>0.70315398886827463</v>
      </c>
      <c r="K122" s="16">
        <v>0.71132075471698109</v>
      </c>
      <c r="L122" s="16">
        <v>0.75266524520255862</v>
      </c>
      <c r="M122" s="16">
        <v>0.79297597042513868</v>
      </c>
      <c r="N122" s="16">
        <v>0.74125874125874125</v>
      </c>
      <c r="O122" s="16">
        <v>0.79032258064516125</v>
      </c>
      <c r="P122" s="16">
        <v>0.80082987551867224</v>
      </c>
      <c r="Q122" s="16">
        <v>0.77419354838709675</v>
      </c>
      <c r="R122" s="16">
        <v>0.7813121272365805</v>
      </c>
      <c r="S122" s="16">
        <v>0.81944444444444442</v>
      </c>
      <c r="T122" s="89">
        <f t="shared" si="22"/>
        <v>11.62904555761698</v>
      </c>
      <c r="U122" s="89">
        <f t="shared" si="23"/>
        <v>2.9121863799283165</v>
      </c>
      <c r="V122" s="89">
        <f t="shared" si="24"/>
        <v>3.8132317207863919</v>
      </c>
    </row>
    <row r="123" spans="1:22" x14ac:dyDescent="0.25">
      <c r="A123" s="15" t="s">
        <v>383</v>
      </c>
      <c r="B123" s="16">
        <v>0.62546816479400746</v>
      </c>
      <c r="C123" s="16">
        <v>0.67145790554414786</v>
      </c>
      <c r="D123" s="16">
        <v>0.66947368421052633</v>
      </c>
      <c r="E123" s="16">
        <v>0.68220338983050843</v>
      </c>
      <c r="F123" s="16">
        <v>0.64118895966029721</v>
      </c>
      <c r="G123" s="16">
        <v>0.64973262032085566</v>
      </c>
      <c r="H123" s="16">
        <v>0.63209876543209875</v>
      </c>
      <c r="I123" s="16">
        <v>0.69369369369369371</v>
      </c>
      <c r="J123" s="16">
        <v>0.75084175084175087</v>
      </c>
      <c r="K123" s="16">
        <v>0.79012345679012341</v>
      </c>
      <c r="L123" s="16">
        <v>0.80425531914893622</v>
      </c>
      <c r="M123" s="16">
        <v>0.84782608695652173</v>
      </c>
      <c r="N123" s="16">
        <v>0.77854671280276821</v>
      </c>
      <c r="O123" s="16">
        <v>0.82426778242677823</v>
      </c>
      <c r="P123" s="16">
        <v>0.74206349206349209</v>
      </c>
      <c r="Q123" s="16">
        <v>0.74089068825910931</v>
      </c>
      <c r="R123" s="16">
        <v>0.78448275862068961</v>
      </c>
      <c r="S123" s="16">
        <v>0.81818181818181823</v>
      </c>
      <c r="T123" s="89">
        <f t="shared" si="22"/>
        <v>6.7340067340067371</v>
      </c>
      <c r="U123" s="89">
        <f t="shared" si="23"/>
        <v>-0.6085964244959996</v>
      </c>
      <c r="V123" s="89">
        <f t="shared" si="24"/>
        <v>3.3699059561128619</v>
      </c>
    </row>
    <row r="124" spans="1:22" x14ac:dyDescent="0.25">
      <c r="A124" s="15" t="s">
        <v>384</v>
      </c>
      <c r="B124" s="16">
        <v>0.75365344467640916</v>
      </c>
      <c r="C124" s="16">
        <v>0.69247787610619471</v>
      </c>
      <c r="D124" s="16">
        <v>0.69462365591397845</v>
      </c>
      <c r="E124" s="16">
        <v>0.69369369369369371</v>
      </c>
      <c r="F124" s="16">
        <v>0.72413793103448276</v>
      </c>
      <c r="G124" s="16">
        <v>0.76470588235294112</v>
      </c>
      <c r="H124" s="16">
        <v>0.75342465753424659</v>
      </c>
      <c r="I124" s="16">
        <v>0.79166666666666663</v>
      </c>
      <c r="J124" s="16">
        <v>0.80360721442885774</v>
      </c>
      <c r="K124" s="16">
        <v>0.81358885017421601</v>
      </c>
      <c r="L124" s="16">
        <v>0.84820031298904541</v>
      </c>
      <c r="M124" s="16">
        <v>0.80681818181818177</v>
      </c>
      <c r="N124" s="16">
        <v>0.80855855855855852</v>
      </c>
      <c r="O124" s="16">
        <v>0.70964467005076137</v>
      </c>
      <c r="P124" s="16">
        <v>0.74851013110846243</v>
      </c>
      <c r="Q124" s="16">
        <v>0.82134570765661252</v>
      </c>
      <c r="R124" s="16">
        <v>0.81347773766546327</v>
      </c>
      <c r="S124" s="16">
        <v>0.80887792848335394</v>
      </c>
      <c r="T124" s="89">
        <f t="shared" si="22"/>
        <v>0.5270714054496195</v>
      </c>
      <c r="U124" s="89">
        <f t="shared" si="23"/>
        <v>9.9233258432592564</v>
      </c>
      <c r="V124" s="89">
        <f t="shared" si="24"/>
        <v>-0.45998091821093379</v>
      </c>
    </row>
    <row r="125" spans="1:22" x14ac:dyDescent="0.25">
      <c r="A125" s="15" t="s">
        <v>385</v>
      </c>
      <c r="B125" s="16">
        <v>0.69414893617021278</v>
      </c>
      <c r="C125" s="16">
        <v>0.69391025641025639</v>
      </c>
      <c r="D125" s="16">
        <v>0.79863481228668942</v>
      </c>
      <c r="E125" s="16">
        <v>0.75041322314049586</v>
      </c>
      <c r="F125" s="16">
        <v>0.70750382848392035</v>
      </c>
      <c r="G125" s="16">
        <v>0.75433070866141727</v>
      </c>
      <c r="H125" s="16">
        <v>0.72261735419630158</v>
      </c>
      <c r="I125" s="16">
        <v>0.76661264181523503</v>
      </c>
      <c r="J125" s="16">
        <v>0.76065573770491801</v>
      </c>
      <c r="K125" s="16">
        <v>0.81494057724957558</v>
      </c>
      <c r="L125" s="16">
        <v>0.82089552238805974</v>
      </c>
      <c r="M125" s="16">
        <v>0.792604501607717</v>
      </c>
      <c r="N125" s="16">
        <v>0.76182707993474719</v>
      </c>
      <c r="O125" s="16">
        <v>0.85686653771760157</v>
      </c>
      <c r="P125" s="16">
        <v>0.83809523809523812</v>
      </c>
      <c r="Q125" s="16">
        <v>0.82117310443490699</v>
      </c>
      <c r="R125" s="16">
        <v>0.82005494505494503</v>
      </c>
      <c r="S125" s="16">
        <v>0.80785413744740531</v>
      </c>
      <c r="T125" s="89">
        <f t="shared" si="22"/>
        <v>4.71983997424873</v>
      </c>
      <c r="U125" s="89">
        <f t="shared" si="23"/>
        <v>-4.901240027019627</v>
      </c>
      <c r="V125" s="89">
        <f t="shared" si="24"/>
        <v>-1.2200807607539721</v>
      </c>
    </row>
    <row r="126" spans="1:22" x14ac:dyDescent="0.25">
      <c r="A126" s="15" t="s">
        <v>33</v>
      </c>
      <c r="B126" s="16">
        <v>0.69610091743119262</v>
      </c>
      <c r="C126" s="16">
        <v>0.65587240212663123</v>
      </c>
      <c r="D126" s="16">
        <v>0.69461410327595785</v>
      </c>
      <c r="E126" s="16">
        <v>0.72268135904499542</v>
      </c>
      <c r="F126" s="16">
        <v>0.7053849577214063</v>
      </c>
      <c r="G126" s="16">
        <v>0.70270270270270274</v>
      </c>
      <c r="H126" s="16">
        <v>0.72034671532846717</v>
      </c>
      <c r="I126" s="16">
        <v>0.75716768027801906</v>
      </c>
      <c r="J126" s="16">
        <v>0.75044404973357015</v>
      </c>
      <c r="K126" s="16">
        <v>0.75557056043214044</v>
      </c>
      <c r="L126" s="16">
        <v>0.79709267110841919</v>
      </c>
      <c r="M126" s="16">
        <v>0.81726327944572752</v>
      </c>
      <c r="N126" s="16">
        <v>0.77768838830785736</v>
      </c>
      <c r="O126" s="16">
        <v>0.68698132780082988</v>
      </c>
      <c r="P126" s="16">
        <v>0.7519013899816418</v>
      </c>
      <c r="Q126" s="16">
        <v>0.811259806183664</v>
      </c>
      <c r="R126" s="16">
        <v>0.83041530944625408</v>
      </c>
      <c r="S126" s="16">
        <v>0.8064452352708581</v>
      </c>
      <c r="T126" s="89">
        <f t="shared" si="22"/>
        <v>5.6001185537287945</v>
      </c>
      <c r="U126" s="89">
        <f t="shared" si="23"/>
        <v>11.946390747002821</v>
      </c>
      <c r="V126" s="89">
        <f t="shared" si="24"/>
        <v>-2.3970074175395983</v>
      </c>
    </row>
    <row r="127" spans="1:22" x14ac:dyDescent="0.25">
      <c r="A127" s="73" t="s">
        <v>410</v>
      </c>
      <c r="B127" s="36"/>
      <c r="C127" s="36"/>
      <c r="D127" s="36"/>
      <c r="E127" s="36"/>
      <c r="F127" s="36"/>
      <c r="G127" s="3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87"/>
      <c r="U127" s="87"/>
      <c r="V127" s="88"/>
    </row>
    <row r="129" spans="1:22" ht="18" x14ac:dyDescent="0.25">
      <c r="A129" s="11" t="s">
        <v>406</v>
      </c>
      <c r="B129" s="11"/>
      <c r="C129" s="11"/>
      <c r="D129" s="11"/>
      <c r="E129" s="11"/>
      <c r="F129" s="11"/>
      <c r="G129" s="11"/>
    </row>
    <row r="130" spans="1:22" ht="45" customHeight="1" x14ac:dyDescent="0.25">
      <c r="A130" s="14" t="s">
        <v>76</v>
      </c>
      <c r="B130" s="38">
        <v>2007</v>
      </c>
      <c r="C130" s="38">
        <v>2008</v>
      </c>
      <c r="D130" s="38">
        <v>2009</v>
      </c>
      <c r="E130" s="38">
        <v>2010</v>
      </c>
      <c r="F130" s="38">
        <v>2011</v>
      </c>
      <c r="G130" s="38">
        <v>2012</v>
      </c>
      <c r="H130" s="38">
        <v>2013</v>
      </c>
      <c r="I130" s="38">
        <v>2014</v>
      </c>
      <c r="J130" s="38">
        <v>2015</v>
      </c>
      <c r="K130" s="38">
        <v>2016</v>
      </c>
      <c r="L130" s="38">
        <v>2017</v>
      </c>
      <c r="M130" s="38">
        <v>2018</v>
      </c>
      <c r="N130" s="38">
        <v>2019</v>
      </c>
      <c r="O130" s="38">
        <v>2020</v>
      </c>
      <c r="P130" s="38">
        <v>2021</v>
      </c>
      <c r="Q130" s="38">
        <v>2022</v>
      </c>
      <c r="R130" s="38">
        <v>2023</v>
      </c>
      <c r="S130" s="38">
        <v>2024</v>
      </c>
      <c r="T130" s="39" t="s">
        <v>373</v>
      </c>
      <c r="U130" s="39" t="s">
        <v>374</v>
      </c>
      <c r="V130" s="39" t="s">
        <v>375</v>
      </c>
    </row>
    <row r="131" spans="1:22" x14ac:dyDescent="0.25">
      <c r="A131" s="15" t="s">
        <v>386</v>
      </c>
      <c r="B131" s="16">
        <v>0.53695514845230596</v>
      </c>
      <c r="C131" s="16">
        <v>0.58867924528301885</v>
      </c>
      <c r="D131" s="16">
        <v>0.63167587476979747</v>
      </c>
      <c r="E131" s="16">
        <v>0.61588861588861588</v>
      </c>
      <c r="F131" s="16">
        <v>0.63916500994035785</v>
      </c>
      <c r="G131" s="16">
        <v>0.55433455433455436</v>
      </c>
      <c r="H131" s="16">
        <v>0.63589743589743586</v>
      </c>
      <c r="I131" s="16">
        <v>0.62348877374784106</v>
      </c>
      <c r="J131" s="16">
        <v>0.64777947932618685</v>
      </c>
      <c r="K131" s="16">
        <v>0.62962962962962965</v>
      </c>
      <c r="L131" s="16">
        <v>0.62290076335877864</v>
      </c>
      <c r="M131" s="16">
        <v>0.63836477987421381</v>
      </c>
      <c r="N131" s="16">
        <v>0.60700389105058361</v>
      </c>
      <c r="O131" s="16">
        <v>0.67286652078774623</v>
      </c>
      <c r="P131" s="16">
        <v>0.64450354609929073</v>
      </c>
      <c r="Q131" s="16">
        <v>0.58433179723502304</v>
      </c>
      <c r="R131" s="16">
        <v>0.5658482142857143</v>
      </c>
      <c r="S131" s="16">
        <v>0.6119610570236439</v>
      </c>
      <c r="T131" s="89">
        <f t="shared" ref="T131" si="25">(S131-J131)*100</f>
        <v>-3.5818422302542952</v>
      </c>
      <c r="U131" s="89">
        <f t="shared" ref="U131" si="26">(S131-O131)*100</f>
        <v>-6.0905463764102326</v>
      </c>
      <c r="V131" s="89">
        <f t="shared" ref="V131" si="27">(S131-R131)*100</f>
        <v>4.6112842737929594</v>
      </c>
    </row>
    <row r="132" spans="1:22" x14ac:dyDescent="0.25">
      <c r="A132" s="15" t="s">
        <v>387</v>
      </c>
      <c r="B132" s="16" t="s">
        <v>62</v>
      </c>
      <c r="C132" s="16" t="s">
        <v>62</v>
      </c>
      <c r="D132" s="16" t="s">
        <v>62</v>
      </c>
      <c r="E132" s="16" t="s">
        <v>62</v>
      </c>
      <c r="F132" s="16">
        <v>0.27419354838709675</v>
      </c>
      <c r="G132" s="16">
        <v>0.60037523452157604</v>
      </c>
      <c r="H132" s="16">
        <v>0.62137989778534919</v>
      </c>
      <c r="I132" s="16">
        <v>0.63324360699865412</v>
      </c>
      <c r="J132" s="16">
        <v>0.62295640326975477</v>
      </c>
      <c r="K132" s="16">
        <v>0.56219255094869991</v>
      </c>
      <c r="L132" s="16">
        <v>0.5690045248868778</v>
      </c>
      <c r="M132" s="16">
        <v>0.59338313767342588</v>
      </c>
      <c r="N132" s="16">
        <v>0.59978425026968718</v>
      </c>
      <c r="O132" s="16">
        <v>0.59422110552763818</v>
      </c>
      <c r="P132" s="16">
        <v>0.65391969407265771</v>
      </c>
      <c r="Q132" s="16">
        <v>0.66398066075745366</v>
      </c>
      <c r="R132" s="16">
        <v>0.59935275080906147</v>
      </c>
      <c r="S132" s="16">
        <v>0.6117424242424242</v>
      </c>
      <c r="T132" s="89">
        <f t="shared" ref="T132:T140" si="28">(S132-J132)*100</f>
        <v>-1.1213979027330567</v>
      </c>
      <c r="U132" s="89">
        <f t="shared" ref="U132:U140" si="29">(S132-O132)*100</f>
        <v>1.7521318714786016</v>
      </c>
      <c r="V132" s="89">
        <f t="shared" ref="V132:V140" si="30">(S132-R132)*100</f>
        <v>1.2389673433362725</v>
      </c>
    </row>
    <row r="133" spans="1:22" x14ac:dyDescent="0.25">
      <c r="A133" s="15" t="s">
        <v>388</v>
      </c>
      <c r="B133" s="16">
        <v>0.31578947368421051</v>
      </c>
      <c r="C133" s="16">
        <v>0.52380952380952384</v>
      </c>
      <c r="D133" s="16">
        <v>0.25</v>
      </c>
      <c r="E133" s="16">
        <v>0.5</v>
      </c>
      <c r="F133" s="16">
        <v>0.61904761904761907</v>
      </c>
      <c r="G133" s="16">
        <v>0.61111111111111116</v>
      </c>
      <c r="H133" s="16">
        <v>0.73333333333333328</v>
      </c>
      <c r="I133" s="16">
        <v>0.61538461538461542</v>
      </c>
      <c r="J133" s="16" t="s">
        <v>62</v>
      </c>
      <c r="K133" s="16">
        <v>0.63265306122448983</v>
      </c>
      <c r="L133" s="16">
        <v>0.76190476190476186</v>
      </c>
      <c r="M133" s="16">
        <v>0.6166666666666667</v>
      </c>
      <c r="N133" s="16">
        <v>0.66265060240963858</v>
      </c>
      <c r="O133" s="16">
        <v>0.57608695652173914</v>
      </c>
      <c r="P133" s="16">
        <v>0.75238095238095237</v>
      </c>
      <c r="Q133" s="16">
        <v>0.62616822429906538</v>
      </c>
      <c r="R133" s="16">
        <v>0.6507042253521127</v>
      </c>
      <c r="S133" s="16">
        <v>0.60080645161290325</v>
      </c>
      <c r="T133" s="16" t="s">
        <v>62</v>
      </c>
      <c r="U133" s="89">
        <f t="shared" si="29"/>
        <v>2.4719495091164112</v>
      </c>
      <c r="V133" s="89">
        <f t="shared" si="30"/>
        <v>-4.989777373920945</v>
      </c>
    </row>
    <row r="134" spans="1:22" x14ac:dyDescent="0.25">
      <c r="A134" s="15" t="s">
        <v>368</v>
      </c>
      <c r="B134" s="16">
        <v>0.542713567839196</v>
      </c>
      <c r="C134" s="16">
        <v>0.54062500000000002</v>
      </c>
      <c r="D134" s="16">
        <v>0.52848101265822789</v>
      </c>
      <c r="E134" s="16">
        <v>0.62068965517241381</v>
      </c>
      <c r="F134" s="16">
        <v>0.5107033639143731</v>
      </c>
      <c r="G134" s="16">
        <v>0.61290322580645162</v>
      </c>
      <c r="H134" s="16">
        <v>0.61538461538461542</v>
      </c>
      <c r="I134" s="16">
        <v>0.61297539149888147</v>
      </c>
      <c r="J134" s="16">
        <v>0.64444444444444449</v>
      </c>
      <c r="K134" s="16">
        <v>0.6184448462929476</v>
      </c>
      <c r="L134" s="16">
        <v>0.66559999999999997</v>
      </c>
      <c r="M134" s="16">
        <v>0.71477663230240551</v>
      </c>
      <c r="N134" s="16">
        <v>0.6346749226006192</v>
      </c>
      <c r="O134" s="16">
        <v>0.68604651162790697</v>
      </c>
      <c r="P134" s="16">
        <v>0.6875</v>
      </c>
      <c r="Q134" s="16">
        <v>0.72305140961857384</v>
      </c>
      <c r="R134" s="16">
        <v>0.72066115702479339</v>
      </c>
      <c r="S134" s="16">
        <v>0.57739938080495357</v>
      </c>
      <c r="T134" s="89">
        <f t="shared" si="28"/>
        <v>-6.7045063639490916</v>
      </c>
      <c r="U134" s="89">
        <f t="shared" si="29"/>
        <v>-10.86471308229534</v>
      </c>
      <c r="V134" s="89">
        <f t="shared" si="30"/>
        <v>-14.326177621983982</v>
      </c>
    </row>
    <row r="135" spans="1:22" x14ac:dyDescent="0.25">
      <c r="A135" s="15" t="s">
        <v>312</v>
      </c>
      <c r="B135" s="16">
        <v>0.61823802163833075</v>
      </c>
      <c r="C135" s="16">
        <v>0.63091482649842268</v>
      </c>
      <c r="D135" s="16">
        <v>0.6490335707019329</v>
      </c>
      <c r="E135" s="16">
        <v>0.60425531914893615</v>
      </c>
      <c r="F135" s="16">
        <v>0.57218309859154926</v>
      </c>
      <c r="G135" s="16">
        <v>0.5786516853932584</v>
      </c>
      <c r="H135" s="16">
        <v>0.59983429991714998</v>
      </c>
      <c r="I135" s="16">
        <v>0.61990950226244346</v>
      </c>
      <c r="J135" s="16">
        <v>0.60973597359735976</v>
      </c>
      <c r="K135" s="16">
        <v>0.6413612565445026</v>
      </c>
      <c r="L135" s="16">
        <v>0.67653061224489797</v>
      </c>
      <c r="M135" s="16">
        <v>0.67079207920792083</v>
      </c>
      <c r="N135" s="16">
        <v>0.6633466135458167</v>
      </c>
      <c r="O135" s="16">
        <v>0.62334217506631295</v>
      </c>
      <c r="P135" s="16">
        <v>0.54059829059829057</v>
      </c>
      <c r="Q135" s="16">
        <v>0.60248447204968947</v>
      </c>
      <c r="R135" s="16">
        <v>0.59344262295081962</v>
      </c>
      <c r="S135" s="16">
        <v>0.57652474108170315</v>
      </c>
      <c r="T135" s="89">
        <f t="shared" si="28"/>
        <v>-3.3211232515656608</v>
      </c>
      <c r="U135" s="89">
        <f t="shared" si="29"/>
        <v>-4.6817433984609806</v>
      </c>
      <c r="V135" s="89">
        <f t="shared" si="30"/>
        <v>-1.6917881869116469</v>
      </c>
    </row>
    <row r="136" spans="1:22" x14ac:dyDescent="0.25">
      <c r="A136" s="15" t="s">
        <v>330</v>
      </c>
      <c r="B136" s="16" t="s">
        <v>62</v>
      </c>
      <c r="C136" s="16" t="s">
        <v>62</v>
      </c>
      <c r="D136" s="16" t="s">
        <v>62</v>
      </c>
      <c r="E136" s="16" t="s">
        <v>62</v>
      </c>
      <c r="F136" s="16" t="s">
        <v>62</v>
      </c>
      <c r="G136" s="16">
        <v>0.46153846153846156</v>
      </c>
      <c r="H136" s="16">
        <v>0.35294117647058826</v>
      </c>
      <c r="I136" s="16">
        <v>0.42045454545454547</v>
      </c>
      <c r="J136" s="16">
        <v>0.484375</v>
      </c>
      <c r="K136" s="16">
        <v>0.55555555555555558</v>
      </c>
      <c r="L136" s="16">
        <v>0.42857142857142855</v>
      </c>
      <c r="M136" s="16" t="s">
        <v>62</v>
      </c>
      <c r="N136" s="16">
        <v>0.53623188405797106</v>
      </c>
      <c r="O136" s="16">
        <v>0.64676616915422891</v>
      </c>
      <c r="P136" s="16">
        <v>0.69584569732937684</v>
      </c>
      <c r="Q136" s="16">
        <v>0.60297766749379655</v>
      </c>
      <c r="R136" s="16">
        <v>0.53191489361702127</v>
      </c>
      <c r="S136" s="16">
        <v>0.5757575757575758</v>
      </c>
      <c r="T136" s="89">
        <f t="shared" si="28"/>
        <v>9.1382575757575797</v>
      </c>
      <c r="U136" s="89">
        <f t="shared" si="29"/>
        <v>-7.1008593396653108</v>
      </c>
      <c r="V136" s="89">
        <f t="shared" si="30"/>
        <v>4.384268214055453</v>
      </c>
    </row>
    <row r="137" spans="1:22" x14ac:dyDescent="0.25">
      <c r="A137" s="15" t="s">
        <v>24</v>
      </c>
      <c r="B137" s="16">
        <v>0.54794520547945202</v>
      </c>
      <c r="C137" s="16">
        <v>0.72340425531914898</v>
      </c>
      <c r="D137" s="16">
        <v>0.16071428571428573</v>
      </c>
      <c r="E137" s="16">
        <v>0.58148148148148149</v>
      </c>
      <c r="F137" s="16">
        <v>0.64179104477611937</v>
      </c>
      <c r="G137" s="16">
        <v>0.63010752688172045</v>
      </c>
      <c r="H137" s="16">
        <v>0.55769230769230771</v>
      </c>
      <c r="I137" s="16">
        <v>0.64492753623188404</v>
      </c>
      <c r="J137" s="16">
        <v>0.61176470588235299</v>
      </c>
      <c r="K137" s="16">
        <v>0.52212389380530977</v>
      </c>
      <c r="L137" s="16">
        <v>0.58527827648114905</v>
      </c>
      <c r="M137" s="16">
        <v>0.52921348314606742</v>
      </c>
      <c r="N137" s="16">
        <v>0.51746724890829698</v>
      </c>
      <c r="O137" s="16">
        <v>0.61080222398729145</v>
      </c>
      <c r="P137" s="16">
        <v>0.62240896358543418</v>
      </c>
      <c r="Q137" s="16">
        <v>0.61426978818283162</v>
      </c>
      <c r="R137" s="16">
        <v>0.57404326123128124</v>
      </c>
      <c r="S137" s="16">
        <v>0.57546602525556223</v>
      </c>
      <c r="T137" s="89">
        <f t="shared" si="28"/>
        <v>-3.6298680626790758</v>
      </c>
      <c r="U137" s="89">
        <f t="shared" si="29"/>
        <v>-3.5336198731729218</v>
      </c>
      <c r="V137" s="89">
        <f t="shared" si="30"/>
        <v>0.14227640242809869</v>
      </c>
    </row>
    <row r="138" spans="1:22" x14ac:dyDescent="0.25">
      <c r="A138" s="15" t="s">
        <v>311</v>
      </c>
      <c r="B138" s="16">
        <v>0.47867298578199052</v>
      </c>
      <c r="C138" s="16">
        <v>0.35048231511254019</v>
      </c>
      <c r="D138" s="16">
        <v>0.49257425742574257</v>
      </c>
      <c r="E138" s="16">
        <v>0.49159663865546216</v>
      </c>
      <c r="F138" s="16">
        <v>0.49774774774774777</v>
      </c>
      <c r="G138" s="16">
        <v>0.50564971751412424</v>
      </c>
      <c r="H138" s="16">
        <v>0.58823529411764708</v>
      </c>
      <c r="I138" s="16">
        <v>0.5</v>
      </c>
      <c r="J138" s="16">
        <v>0.55000000000000004</v>
      </c>
      <c r="K138" s="16">
        <v>0.50181818181818183</v>
      </c>
      <c r="L138" s="16">
        <v>0.51824817518248179</v>
      </c>
      <c r="M138" s="16">
        <v>0.47039473684210525</v>
      </c>
      <c r="N138" s="16">
        <v>0.48369565217391303</v>
      </c>
      <c r="O138" s="16">
        <v>0.62091503267973858</v>
      </c>
      <c r="P138" s="16">
        <v>0.54330708661417326</v>
      </c>
      <c r="Q138" s="16">
        <v>0.50520833333333337</v>
      </c>
      <c r="R138" s="16">
        <v>0.59615384615384615</v>
      </c>
      <c r="S138" s="16">
        <v>0.50276243093922657</v>
      </c>
      <c r="T138" s="89">
        <f t="shared" si="28"/>
        <v>-4.7237569060773481</v>
      </c>
      <c r="U138" s="89">
        <f t="shared" si="29"/>
        <v>-11.8152601740512</v>
      </c>
      <c r="V138" s="89">
        <f t="shared" si="30"/>
        <v>-9.3391415214619578</v>
      </c>
    </row>
    <row r="139" spans="1:22" x14ac:dyDescent="0.25">
      <c r="A139" s="15" t="s">
        <v>366</v>
      </c>
      <c r="B139" s="16">
        <v>0.65658362989323849</v>
      </c>
      <c r="C139" s="16">
        <v>0.28019323671497587</v>
      </c>
      <c r="D139" s="16">
        <v>0.46046511627906977</v>
      </c>
      <c r="E139" s="16">
        <v>0.67039106145251393</v>
      </c>
      <c r="F139" s="16">
        <v>0.4609375</v>
      </c>
      <c r="G139" s="16">
        <v>0.58549222797927458</v>
      </c>
      <c r="H139" s="16">
        <v>0.62605042016806722</v>
      </c>
      <c r="I139" s="16">
        <v>0.65317919075144504</v>
      </c>
      <c r="J139" s="16">
        <v>0.58396946564885499</v>
      </c>
      <c r="K139" s="16">
        <v>0.67532467532467533</v>
      </c>
      <c r="L139" s="16">
        <v>0.6633663366336634</v>
      </c>
      <c r="M139" s="16">
        <v>0.64102564102564108</v>
      </c>
      <c r="N139" s="16">
        <v>0.57894736842105265</v>
      </c>
      <c r="O139" s="16">
        <v>0.67567567567567566</v>
      </c>
      <c r="P139" s="16">
        <v>0.74271844660194175</v>
      </c>
      <c r="Q139" s="16">
        <v>0.63787375415282388</v>
      </c>
      <c r="R139" s="16">
        <v>0.62962962962962965</v>
      </c>
      <c r="S139" s="16">
        <v>0.41772151898734178</v>
      </c>
      <c r="T139" s="89">
        <f t="shared" si="28"/>
        <v>-16.62479466615132</v>
      </c>
      <c r="U139" s="89">
        <f t="shared" si="29"/>
        <v>-25.795415668833389</v>
      </c>
      <c r="V139" s="89">
        <f t="shared" si="30"/>
        <v>-21.190811064228786</v>
      </c>
    </row>
    <row r="140" spans="1:22" x14ac:dyDescent="0.25">
      <c r="A140" s="15" t="s">
        <v>365</v>
      </c>
      <c r="B140" s="16">
        <v>0.45818181818181819</v>
      </c>
      <c r="C140" s="16">
        <v>0.42574257425742573</v>
      </c>
      <c r="D140" s="16">
        <v>0.3927272727272727</v>
      </c>
      <c r="E140" s="16">
        <v>0.51943462897526504</v>
      </c>
      <c r="F140" s="16">
        <v>0.45189504373177841</v>
      </c>
      <c r="G140" s="16">
        <v>0.52777777777777779</v>
      </c>
      <c r="H140" s="16">
        <v>0.55102040816326525</v>
      </c>
      <c r="I140" s="16">
        <v>0.57092198581560283</v>
      </c>
      <c r="J140" s="16">
        <v>0.60555555555555551</v>
      </c>
      <c r="K140" s="16">
        <v>0.62420382165605093</v>
      </c>
      <c r="L140" s="16">
        <v>0.76126126126126126</v>
      </c>
      <c r="M140" s="16">
        <v>0.71573604060913709</v>
      </c>
      <c r="N140" s="16">
        <v>0.69090909090909092</v>
      </c>
      <c r="O140" s="16">
        <v>0.75151515151515147</v>
      </c>
      <c r="P140" s="16">
        <v>0.63690476190476186</v>
      </c>
      <c r="Q140" s="16">
        <v>0.75</v>
      </c>
      <c r="R140" s="16">
        <v>0.77777777777777779</v>
      </c>
      <c r="S140" s="16">
        <v>0.37398373983739835</v>
      </c>
      <c r="T140" s="89">
        <f t="shared" si="28"/>
        <v>-23.157181571815716</v>
      </c>
      <c r="U140" s="89">
        <f t="shared" si="29"/>
        <v>-37.753141167775311</v>
      </c>
      <c r="V140" s="89">
        <f t="shared" si="30"/>
        <v>-40.379403794037941</v>
      </c>
    </row>
    <row r="141" spans="1:22" x14ac:dyDescent="0.25">
      <c r="A141" s="73" t="s">
        <v>410</v>
      </c>
      <c r="B141" s="36"/>
      <c r="C141" s="36"/>
      <c r="D141" s="36"/>
      <c r="E141" s="36"/>
      <c r="F141" s="36"/>
      <c r="G141" s="36"/>
    </row>
    <row r="142" spans="1:22" x14ac:dyDescent="0.25">
      <c r="A142" s="36"/>
      <c r="B142" s="36"/>
      <c r="C142" s="36"/>
      <c r="D142" s="36"/>
      <c r="E142" s="36"/>
      <c r="F142" s="36"/>
      <c r="G142" s="36"/>
    </row>
    <row r="143" spans="1:22" ht="18" x14ac:dyDescent="0.25">
      <c r="A143" s="11" t="s">
        <v>407</v>
      </c>
      <c r="B143" s="11"/>
      <c r="C143" s="11"/>
      <c r="D143" s="11"/>
      <c r="E143" s="11"/>
      <c r="F143" s="11"/>
      <c r="G143" s="11"/>
    </row>
    <row r="144" spans="1:22" ht="45" customHeight="1" x14ac:dyDescent="0.25">
      <c r="A144" s="14" t="s">
        <v>271</v>
      </c>
      <c r="B144" s="38">
        <v>2007</v>
      </c>
      <c r="C144" s="38">
        <v>2008</v>
      </c>
      <c r="D144" s="38">
        <v>2009</v>
      </c>
      <c r="E144" s="38">
        <v>2010</v>
      </c>
      <c r="F144" s="38">
        <v>2011</v>
      </c>
      <c r="G144" s="38">
        <v>2012</v>
      </c>
      <c r="H144" s="38">
        <v>2013</v>
      </c>
      <c r="I144" s="38">
        <v>2014</v>
      </c>
      <c r="J144" s="38">
        <v>2015</v>
      </c>
      <c r="K144" s="38">
        <v>2016</v>
      </c>
      <c r="L144" s="38">
        <v>2017</v>
      </c>
      <c r="M144" s="38">
        <v>2018</v>
      </c>
      <c r="N144" s="38">
        <v>2019</v>
      </c>
      <c r="O144" s="38">
        <v>2020</v>
      </c>
      <c r="P144" s="38">
        <v>2021</v>
      </c>
      <c r="Q144" s="38">
        <v>2022</v>
      </c>
      <c r="R144" s="38">
        <v>2023</v>
      </c>
      <c r="S144" s="38">
        <v>2024</v>
      </c>
      <c r="T144" s="39" t="s">
        <v>373</v>
      </c>
      <c r="U144" s="39" t="s">
        <v>374</v>
      </c>
      <c r="V144" s="39" t="s">
        <v>375</v>
      </c>
    </row>
    <row r="145" spans="1:22" x14ac:dyDescent="0.25">
      <c r="A145" s="15" t="s">
        <v>51</v>
      </c>
      <c r="B145" s="16">
        <v>0.91164884637028698</v>
      </c>
      <c r="C145" s="16">
        <v>0.89825119236883944</v>
      </c>
      <c r="D145" s="16">
        <v>0.93698770491803274</v>
      </c>
      <c r="E145" s="16">
        <v>0.93595041322314054</v>
      </c>
      <c r="F145" s="16">
        <v>0.90133201776023675</v>
      </c>
      <c r="G145" s="16">
        <v>0.91093117408906887</v>
      </c>
      <c r="H145" s="16">
        <v>0.93724696356275305</v>
      </c>
      <c r="I145" s="16">
        <v>0.94708209693372902</v>
      </c>
      <c r="J145" s="16">
        <v>0.94736842105263153</v>
      </c>
      <c r="K145" s="16">
        <v>0.93647058823529417</v>
      </c>
      <c r="L145" s="16">
        <v>0.94404332129963897</v>
      </c>
      <c r="M145" s="16">
        <v>0.94543147208121825</v>
      </c>
      <c r="N145" s="16">
        <v>0.94185567010309279</v>
      </c>
      <c r="O145" s="16">
        <v>0.95483596080102262</v>
      </c>
      <c r="P145" s="16">
        <v>0.94732937685459939</v>
      </c>
      <c r="Q145" s="16">
        <v>0.9532334672999635</v>
      </c>
      <c r="R145" s="16">
        <v>0.95549469359808281</v>
      </c>
      <c r="S145" s="16">
        <v>0.95845600261694475</v>
      </c>
      <c r="T145" s="89">
        <f t="shared" ref="T145" si="31">(S145-J145)*100</f>
        <v>1.108758156431322</v>
      </c>
      <c r="U145" s="89">
        <f t="shared" ref="U145" si="32">(S145-O145)*100</f>
        <v>0.36200418159221259</v>
      </c>
      <c r="V145" s="89">
        <f t="shared" ref="V145" si="33">(S145-R145)*100</f>
        <v>0.29613090188619351</v>
      </c>
    </row>
    <row r="146" spans="1:22" x14ac:dyDescent="0.25">
      <c r="A146" s="15" t="s">
        <v>52</v>
      </c>
      <c r="B146" s="16">
        <v>0.85154975530179444</v>
      </c>
      <c r="C146" s="16">
        <v>0.86855241264559069</v>
      </c>
      <c r="D146" s="16">
        <v>0.86912751677852351</v>
      </c>
      <c r="E146" s="16">
        <v>0.88538011695906438</v>
      </c>
      <c r="F146" s="16">
        <v>0.81243830207305034</v>
      </c>
      <c r="G146" s="16">
        <v>0.84527972027972031</v>
      </c>
      <c r="H146" s="16">
        <v>0.87567567567567572</v>
      </c>
      <c r="I146" s="16">
        <v>0.88530219780219777</v>
      </c>
      <c r="J146" s="16">
        <v>0.89736664415935175</v>
      </c>
      <c r="K146" s="16">
        <v>0.91264667535853972</v>
      </c>
      <c r="L146" s="16">
        <v>0.86488027366020526</v>
      </c>
      <c r="M146" s="16">
        <v>0.91349999999999998</v>
      </c>
      <c r="N146" s="16">
        <v>0.90969899665551834</v>
      </c>
      <c r="O146" s="16">
        <v>0.93171402383134738</v>
      </c>
      <c r="P146" s="16">
        <v>0.93297587131367288</v>
      </c>
      <c r="Q146" s="16">
        <v>0.9045433685176687</v>
      </c>
      <c r="R146" s="16">
        <v>0.9059613769941226</v>
      </c>
      <c r="S146" s="16">
        <v>0.91426344505066248</v>
      </c>
      <c r="T146" s="89">
        <f t="shared" ref="T146:T154" si="34">(S146-J146)*100</f>
        <v>1.6896800891310737</v>
      </c>
      <c r="U146" s="89">
        <f t="shared" ref="U146:U154" si="35">(S146-O146)*100</f>
        <v>-1.74505787806849</v>
      </c>
      <c r="V146" s="89">
        <f t="shared" ref="V146:V154" si="36">(S146-R146)*100</f>
        <v>0.83020680565398797</v>
      </c>
    </row>
    <row r="147" spans="1:22" x14ac:dyDescent="0.25">
      <c r="A147" s="15" t="s">
        <v>56</v>
      </c>
      <c r="B147" s="16">
        <v>0.86588921282798836</v>
      </c>
      <c r="C147" s="16">
        <v>0.85931034482758617</v>
      </c>
      <c r="D147" s="16">
        <v>0.86357435197817189</v>
      </c>
      <c r="E147" s="16">
        <v>0.88741721854304634</v>
      </c>
      <c r="F147" s="16">
        <v>0.83701657458563539</v>
      </c>
      <c r="G147" s="16">
        <v>0.83401360544217684</v>
      </c>
      <c r="H147" s="16">
        <v>0.8017676767676768</v>
      </c>
      <c r="I147" s="16">
        <v>0.79700115340253752</v>
      </c>
      <c r="J147" s="16">
        <v>0.83673469387755106</v>
      </c>
      <c r="K147" s="16">
        <v>0.8475991649269311</v>
      </c>
      <c r="L147" s="16">
        <v>0.88116817724068475</v>
      </c>
      <c r="M147" s="16">
        <v>0.86312640239341809</v>
      </c>
      <c r="N147" s="16">
        <v>0.89590110605074824</v>
      </c>
      <c r="O147" s="16">
        <v>0.91604010025062654</v>
      </c>
      <c r="P147" s="16">
        <v>0.88723667905824044</v>
      </c>
      <c r="Q147" s="16">
        <v>0.87776332899869958</v>
      </c>
      <c r="R147" s="16">
        <v>0.88463426607756501</v>
      </c>
      <c r="S147" s="16">
        <v>0.90995065789473684</v>
      </c>
      <c r="T147" s="89">
        <f t="shared" si="34"/>
        <v>7.321596401718578</v>
      </c>
      <c r="U147" s="89">
        <f t="shared" si="35"/>
        <v>-0.60894423558897071</v>
      </c>
      <c r="V147" s="89">
        <f t="shared" si="36"/>
        <v>2.5316391817171824</v>
      </c>
    </row>
    <row r="148" spans="1:22" x14ac:dyDescent="0.25">
      <c r="A148" s="15" t="s">
        <v>44</v>
      </c>
      <c r="B148" s="16">
        <v>0.86702127659574468</v>
      </c>
      <c r="C148" s="16">
        <v>0.87709090909090914</v>
      </c>
      <c r="D148" s="16">
        <v>0.90372272143774068</v>
      </c>
      <c r="E148" s="16">
        <v>0.87369001654715939</v>
      </c>
      <c r="F148" s="16">
        <v>0.84571129707112969</v>
      </c>
      <c r="G148" s="16">
        <v>0.75523889354568319</v>
      </c>
      <c r="H148" s="16">
        <v>0.79539242483404915</v>
      </c>
      <c r="I148" s="16">
        <v>0.79750644883920896</v>
      </c>
      <c r="J148" s="16">
        <v>0.80913348946135832</v>
      </c>
      <c r="K148" s="16">
        <v>0.80184489238127776</v>
      </c>
      <c r="L148" s="16">
        <v>0.88450860632981676</v>
      </c>
      <c r="M148" s="16">
        <v>0.87582089552238807</v>
      </c>
      <c r="N148" s="16">
        <v>0.8809946714031972</v>
      </c>
      <c r="O148" s="16">
        <v>0.93065941536369812</v>
      </c>
      <c r="P148" s="16">
        <v>0.89424703891708968</v>
      </c>
      <c r="Q148" s="16">
        <v>0.89493791786055399</v>
      </c>
      <c r="R148" s="16">
        <v>0.89504716981132071</v>
      </c>
      <c r="S148" s="16">
        <v>0.90904311251314407</v>
      </c>
      <c r="T148" s="89">
        <f t="shared" si="34"/>
        <v>9.9909623051785736</v>
      </c>
      <c r="U148" s="89">
        <f t="shared" si="35"/>
        <v>-2.1616302850554048</v>
      </c>
      <c r="V148" s="89">
        <f t="shared" si="36"/>
        <v>1.3995942701823361</v>
      </c>
    </row>
    <row r="149" spans="1:22" x14ac:dyDescent="0.25">
      <c r="A149" s="15" t="s">
        <v>313</v>
      </c>
      <c r="B149" s="16">
        <v>0.78433889602053919</v>
      </c>
      <c r="C149" s="16">
        <v>0.76809651474530827</v>
      </c>
      <c r="D149" s="16">
        <v>0.80279720279720279</v>
      </c>
      <c r="E149" s="16">
        <v>0.81497797356828194</v>
      </c>
      <c r="F149" s="16">
        <v>0.76229508196721307</v>
      </c>
      <c r="G149" s="16">
        <v>0.72622950819672127</v>
      </c>
      <c r="H149" s="16">
        <v>0.74423076923076925</v>
      </c>
      <c r="I149" s="16">
        <v>0.80776699029126209</v>
      </c>
      <c r="J149" s="16">
        <v>0.76402321083172142</v>
      </c>
      <c r="K149" s="16">
        <v>0.79303675048355904</v>
      </c>
      <c r="L149" s="16">
        <v>0.83763837638376382</v>
      </c>
      <c r="M149" s="16">
        <v>0.76409185803757829</v>
      </c>
      <c r="N149" s="16">
        <v>0.80541455160744502</v>
      </c>
      <c r="O149" s="16">
        <v>0.88176352705410821</v>
      </c>
      <c r="P149" s="16">
        <v>0.88405797101449279</v>
      </c>
      <c r="Q149" s="16">
        <v>0.88971962616822431</v>
      </c>
      <c r="R149" s="16">
        <v>0.88734567901234573</v>
      </c>
      <c r="S149" s="16">
        <v>0.89924812030075185</v>
      </c>
      <c r="T149" s="89">
        <f t="shared" si="34"/>
        <v>13.522490946903043</v>
      </c>
      <c r="U149" s="89">
        <f t="shared" si="35"/>
        <v>1.7484593246643643</v>
      </c>
      <c r="V149" s="89">
        <f t="shared" si="36"/>
        <v>1.1902441288406118</v>
      </c>
    </row>
    <row r="150" spans="1:22" x14ac:dyDescent="0.25">
      <c r="A150" s="15" t="s">
        <v>291</v>
      </c>
      <c r="B150" s="16">
        <v>0.88749999999999996</v>
      </c>
      <c r="C150" s="16">
        <v>0.56338028169014087</v>
      </c>
      <c r="D150" s="16" t="s">
        <v>62</v>
      </c>
      <c r="E150" s="16" t="s">
        <v>62</v>
      </c>
      <c r="F150" s="16" t="s">
        <v>62</v>
      </c>
      <c r="G150" s="16">
        <v>0.48148148148148145</v>
      </c>
      <c r="H150" s="16">
        <v>0.33333333333333331</v>
      </c>
      <c r="I150" s="16">
        <v>0.40740740740740738</v>
      </c>
      <c r="J150" s="16">
        <v>0.68627450980392157</v>
      </c>
      <c r="K150" s="16">
        <v>0.828125</v>
      </c>
      <c r="L150" s="16">
        <v>0.79518072289156627</v>
      </c>
      <c r="M150" s="16">
        <v>0.75824175824175821</v>
      </c>
      <c r="N150" s="16">
        <v>0.759493670886076</v>
      </c>
      <c r="O150" s="16">
        <v>0.87671232876712324</v>
      </c>
      <c r="P150" s="16">
        <v>0.87301587301587302</v>
      </c>
      <c r="Q150" s="16">
        <v>0.86075949367088611</v>
      </c>
      <c r="R150" s="16">
        <v>0.84</v>
      </c>
      <c r="S150" s="16">
        <v>0.89622641509433965</v>
      </c>
      <c r="T150" s="89">
        <f t="shared" si="34"/>
        <v>20.995190529041807</v>
      </c>
      <c r="U150" s="89">
        <f t="shared" si="35"/>
        <v>1.9514086327216407</v>
      </c>
      <c r="V150" s="89">
        <f t="shared" si="36"/>
        <v>5.6226415094339677</v>
      </c>
    </row>
    <row r="151" spans="1:22" x14ac:dyDescent="0.25">
      <c r="A151" s="15" t="s">
        <v>37</v>
      </c>
      <c r="B151" s="16">
        <v>0.8105211885046274</v>
      </c>
      <c r="C151" s="16">
        <v>0.80713664055700607</v>
      </c>
      <c r="D151" s="16">
        <v>0.83809270819497939</v>
      </c>
      <c r="E151" s="16">
        <v>0.83364507832592938</v>
      </c>
      <c r="F151" s="16">
        <v>0.7969916556873079</v>
      </c>
      <c r="G151" s="16">
        <v>0.75405055087491901</v>
      </c>
      <c r="H151" s="16">
        <v>0.82180916976456009</v>
      </c>
      <c r="I151" s="16">
        <v>0.82590565545999484</v>
      </c>
      <c r="J151" s="16">
        <v>0.83355923014367039</v>
      </c>
      <c r="K151" s="16">
        <v>0.83317637562222524</v>
      </c>
      <c r="L151" s="16">
        <v>0.83124826244092298</v>
      </c>
      <c r="M151" s="16">
        <v>0.83187739463601529</v>
      </c>
      <c r="N151" s="16">
        <v>0.84619032564021501</v>
      </c>
      <c r="O151" s="16">
        <v>0.89261634599572437</v>
      </c>
      <c r="P151" s="16">
        <v>0.85977859778597787</v>
      </c>
      <c r="Q151" s="16">
        <v>0.88127986101056899</v>
      </c>
      <c r="R151" s="16">
        <v>0.87702047413793105</v>
      </c>
      <c r="S151" s="16">
        <v>0.89282348189039984</v>
      </c>
      <c r="T151" s="89">
        <f t="shared" si="34"/>
        <v>5.9264251746729446</v>
      </c>
      <c r="U151" s="89">
        <f t="shared" si="35"/>
        <v>2.0713589467546978E-2</v>
      </c>
      <c r="V151" s="89">
        <f t="shared" si="36"/>
        <v>1.580300775246879</v>
      </c>
    </row>
    <row r="152" spans="1:22" x14ac:dyDescent="0.25">
      <c r="A152" s="15" t="s">
        <v>349</v>
      </c>
      <c r="B152" s="16">
        <v>0.749018797769056</v>
      </c>
      <c r="C152" s="16">
        <v>0.76816347124117057</v>
      </c>
      <c r="D152" s="16">
        <v>0.79135135135135137</v>
      </c>
      <c r="E152" s="16">
        <v>0.8051561725334655</v>
      </c>
      <c r="F152" s="16">
        <v>0.76843352087651762</v>
      </c>
      <c r="G152" s="16">
        <v>0.75125944584382875</v>
      </c>
      <c r="H152" s="16">
        <v>0.77417998317914216</v>
      </c>
      <c r="I152" s="16">
        <v>0.78413865546218486</v>
      </c>
      <c r="J152" s="16">
        <v>0.81559888579387185</v>
      </c>
      <c r="K152" s="16">
        <v>0.82268370607028751</v>
      </c>
      <c r="L152" s="16">
        <v>0.89176741508347723</v>
      </c>
      <c r="M152" s="16">
        <v>0.86363636363636365</v>
      </c>
      <c r="N152" s="16">
        <v>0.86088379705400986</v>
      </c>
      <c r="O152" s="16">
        <v>0.91933570581257418</v>
      </c>
      <c r="P152" s="16">
        <v>0.87332808811959084</v>
      </c>
      <c r="Q152" s="16">
        <v>0.86341929321872013</v>
      </c>
      <c r="R152" s="16">
        <v>0.88895417156286727</v>
      </c>
      <c r="S152" s="16">
        <v>0.88715744223535731</v>
      </c>
      <c r="T152" s="89">
        <f t="shared" si="34"/>
        <v>7.155855644148545</v>
      </c>
      <c r="U152" s="89">
        <f t="shared" si="35"/>
        <v>-3.217826357721687</v>
      </c>
      <c r="V152" s="89">
        <f t="shared" si="36"/>
        <v>-0.17967293275099605</v>
      </c>
    </row>
    <row r="153" spans="1:22" x14ac:dyDescent="0.25">
      <c r="A153" s="15" t="s">
        <v>39</v>
      </c>
      <c r="B153" s="16">
        <v>0.81152063562127563</v>
      </c>
      <c r="C153" s="16">
        <v>0.78892092257001645</v>
      </c>
      <c r="D153" s="16">
        <v>0.79408942621377854</v>
      </c>
      <c r="E153" s="16">
        <v>0.81361510479819854</v>
      </c>
      <c r="F153" s="16">
        <v>0.7801153186847436</v>
      </c>
      <c r="G153" s="16">
        <v>0.76004835297673012</v>
      </c>
      <c r="H153" s="16">
        <v>0.79055949826704075</v>
      </c>
      <c r="I153" s="16">
        <v>0.79342064234487064</v>
      </c>
      <c r="J153" s="16">
        <v>0.81590553421539336</v>
      </c>
      <c r="K153" s="16">
        <v>0.81209061135371174</v>
      </c>
      <c r="L153" s="16">
        <v>0.81886149003147957</v>
      </c>
      <c r="M153" s="16">
        <v>0.82711909871244638</v>
      </c>
      <c r="N153" s="16">
        <v>0.82097349643221207</v>
      </c>
      <c r="O153" s="16">
        <v>0.85203761755485896</v>
      </c>
      <c r="P153" s="16">
        <v>0.86619557784362888</v>
      </c>
      <c r="Q153" s="16">
        <v>0.85777594558384007</v>
      </c>
      <c r="R153" s="16">
        <v>0.87009692906966207</v>
      </c>
      <c r="S153" s="16">
        <v>0.88577334411791142</v>
      </c>
      <c r="T153" s="89">
        <f t="shared" si="34"/>
        <v>6.9867809902518063</v>
      </c>
      <c r="U153" s="89">
        <f t="shared" si="35"/>
        <v>3.3735726563052459</v>
      </c>
      <c r="V153" s="89">
        <f t="shared" si="36"/>
        <v>1.5676415048249348</v>
      </c>
    </row>
    <row r="154" spans="1:22" x14ac:dyDescent="0.25">
      <c r="A154" s="15" t="s">
        <v>45</v>
      </c>
      <c r="B154" s="16">
        <v>0.85208663497094561</v>
      </c>
      <c r="C154" s="16">
        <v>0.85241974125539055</v>
      </c>
      <c r="D154" s="16">
        <v>0.87851275399913531</v>
      </c>
      <c r="E154" s="16">
        <v>0.88332660476382718</v>
      </c>
      <c r="F154" s="16">
        <v>0.85220729366602688</v>
      </c>
      <c r="G154" s="16">
        <v>0.84205057152753726</v>
      </c>
      <c r="H154" s="16">
        <v>0.82889889480147361</v>
      </c>
      <c r="I154" s="16">
        <v>0.81560283687943258</v>
      </c>
      <c r="J154" s="16">
        <v>0.82912793271359009</v>
      </c>
      <c r="K154" s="16">
        <v>0.84476843910806176</v>
      </c>
      <c r="L154" s="16">
        <v>0.85002186270223001</v>
      </c>
      <c r="M154" s="16">
        <v>0.86604514229636897</v>
      </c>
      <c r="N154" s="16">
        <v>0.84659913169319823</v>
      </c>
      <c r="O154" s="16">
        <v>0.90631067961165046</v>
      </c>
      <c r="P154" s="16">
        <v>0.87836583101207055</v>
      </c>
      <c r="Q154" s="16">
        <v>0.87857762359063318</v>
      </c>
      <c r="R154" s="16">
        <v>0.88160508541914984</v>
      </c>
      <c r="S154" s="16">
        <v>0.88507157464212682</v>
      </c>
      <c r="T154" s="89">
        <f t="shared" si="34"/>
        <v>5.5943641928536731</v>
      </c>
      <c r="U154" s="89">
        <f t="shared" si="35"/>
        <v>-2.1239104969523637</v>
      </c>
      <c r="V154" s="89">
        <f t="shared" si="36"/>
        <v>0.34664892229769873</v>
      </c>
    </row>
    <row r="155" spans="1:22" x14ac:dyDescent="0.25">
      <c r="A155" s="73" t="s">
        <v>410</v>
      </c>
      <c r="B155" s="36"/>
      <c r="C155" s="36"/>
      <c r="D155" s="36"/>
      <c r="E155" s="36"/>
      <c r="F155" s="36"/>
      <c r="G155" s="3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87"/>
      <c r="U155" s="87"/>
      <c r="V155" s="88"/>
    </row>
    <row r="157" spans="1:22" ht="18" x14ac:dyDescent="0.25">
      <c r="A157" s="11" t="s">
        <v>408</v>
      </c>
      <c r="B157" s="11"/>
      <c r="C157" s="11"/>
      <c r="D157" s="11"/>
      <c r="E157" s="11"/>
      <c r="F157" s="11"/>
      <c r="G157" s="11"/>
    </row>
    <row r="158" spans="1:22" ht="45" customHeight="1" x14ac:dyDescent="0.25">
      <c r="A158" s="14" t="s">
        <v>270</v>
      </c>
      <c r="B158" s="38">
        <v>2007</v>
      </c>
      <c r="C158" s="38">
        <v>2008</v>
      </c>
      <c r="D158" s="38">
        <v>2009</v>
      </c>
      <c r="E158" s="38">
        <v>2010</v>
      </c>
      <c r="F158" s="38">
        <v>2011</v>
      </c>
      <c r="G158" s="38">
        <v>2012</v>
      </c>
      <c r="H158" s="38">
        <v>2013</v>
      </c>
      <c r="I158" s="38">
        <v>2014</v>
      </c>
      <c r="J158" s="38">
        <v>2015</v>
      </c>
      <c r="K158" s="38">
        <v>2016</v>
      </c>
      <c r="L158" s="38">
        <v>2017</v>
      </c>
      <c r="M158" s="38">
        <v>2018</v>
      </c>
      <c r="N158" s="38">
        <v>2019</v>
      </c>
      <c r="O158" s="38">
        <v>2020</v>
      </c>
      <c r="P158" s="38">
        <v>2021</v>
      </c>
      <c r="Q158" s="38">
        <v>2022</v>
      </c>
      <c r="R158" s="38">
        <v>2023</v>
      </c>
      <c r="S158" s="38">
        <v>2024</v>
      </c>
      <c r="T158" s="39" t="s">
        <v>373</v>
      </c>
      <c r="U158" s="39" t="s">
        <v>374</v>
      </c>
      <c r="V158" s="39" t="s">
        <v>375</v>
      </c>
    </row>
    <row r="159" spans="1:22" x14ac:dyDescent="0.25">
      <c r="A159" s="15" t="s">
        <v>390</v>
      </c>
      <c r="B159" s="16">
        <v>0.80628272251308897</v>
      </c>
      <c r="C159" s="16">
        <v>0.76056338028169013</v>
      </c>
      <c r="D159" s="16">
        <v>0.80471380471380471</v>
      </c>
      <c r="E159" s="16">
        <v>0.810126582278481</v>
      </c>
      <c r="F159" s="16">
        <v>0.75288303130148271</v>
      </c>
      <c r="G159" s="16">
        <v>0.7661290322580645</v>
      </c>
      <c r="H159" s="16">
        <v>0.78409090909090906</v>
      </c>
      <c r="I159" s="16">
        <v>0.77561837455830385</v>
      </c>
      <c r="J159" s="16">
        <v>0.80067567567567566</v>
      </c>
      <c r="K159" s="16">
        <v>0.7686274509803922</v>
      </c>
      <c r="L159" s="16">
        <v>0.75757575757575757</v>
      </c>
      <c r="M159" s="16">
        <v>0.7932489451476793</v>
      </c>
      <c r="N159" s="16">
        <v>0.6875</v>
      </c>
      <c r="O159" s="16">
        <v>0.8771929824561403</v>
      </c>
      <c r="P159" s="16">
        <v>0.81818181818181823</v>
      </c>
      <c r="Q159" s="16">
        <v>0.6633663366336634</v>
      </c>
      <c r="R159" s="16">
        <v>0.59006211180124224</v>
      </c>
      <c r="S159" s="16">
        <v>0.64596273291925466</v>
      </c>
      <c r="T159" s="89">
        <f t="shared" ref="T159:T168" si="37">(S159-J159)*100</f>
        <v>-15.4712942756421</v>
      </c>
      <c r="U159" s="89">
        <f t="shared" ref="U159:U166" si="38">(S159-O159)*100</f>
        <v>-23.123024953688564</v>
      </c>
      <c r="V159" s="89">
        <f t="shared" ref="V159:V168" si="39">(S159-R159)*100</f>
        <v>5.5900621118012417</v>
      </c>
    </row>
    <row r="160" spans="1:22" x14ac:dyDescent="0.25">
      <c r="A160" s="15" t="s">
        <v>387</v>
      </c>
      <c r="B160" s="16">
        <v>0.44444444444444442</v>
      </c>
      <c r="C160" s="16">
        <v>0.47058823529411764</v>
      </c>
      <c r="D160" s="16">
        <v>0.59283387622149841</v>
      </c>
      <c r="E160" s="16">
        <v>0.5307017543859649</v>
      </c>
      <c r="F160" s="16">
        <v>0.4567219152854512</v>
      </c>
      <c r="G160" s="16">
        <v>0.55246523388116309</v>
      </c>
      <c r="H160" s="16">
        <v>0.56376811594202902</v>
      </c>
      <c r="I160" s="16">
        <v>0.54024896265560163</v>
      </c>
      <c r="J160" s="16">
        <v>0.56331006979062814</v>
      </c>
      <c r="K160" s="16">
        <v>0.67117726657645471</v>
      </c>
      <c r="L160" s="16">
        <v>0.63598326359832635</v>
      </c>
      <c r="M160" s="16">
        <v>0.6053639846743295</v>
      </c>
      <c r="N160" s="16">
        <v>0.64583333333333337</v>
      </c>
      <c r="O160" s="16">
        <v>0.72189349112426038</v>
      </c>
      <c r="P160" s="16">
        <v>0.74007220216606495</v>
      </c>
      <c r="Q160" s="16">
        <v>0.64344262295081966</v>
      </c>
      <c r="R160" s="16">
        <v>0.72058823529411764</v>
      </c>
      <c r="S160" s="16">
        <v>0.64406779661016944</v>
      </c>
      <c r="T160" s="89">
        <f t="shared" si="37"/>
        <v>8.0757726819541293</v>
      </c>
      <c r="U160" s="89">
        <f t="shared" si="38"/>
        <v>-7.7825694514090937</v>
      </c>
      <c r="V160" s="89">
        <f t="shared" si="39"/>
        <v>-7.65204386839482</v>
      </c>
    </row>
    <row r="161" spans="1:22" x14ac:dyDescent="0.25">
      <c r="A161" s="15" t="s">
        <v>24</v>
      </c>
      <c r="B161" s="16">
        <v>0.75471698113207553</v>
      </c>
      <c r="C161" s="16">
        <v>0.54838709677419351</v>
      </c>
      <c r="D161" s="16">
        <v>0.5357142857142857</v>
      </c>
      <c r="E161" s="16">
        <v>0.59444444444444444</v>
      </c>
      <c r="F161" s="16">
        <v>0.55862068965517242</v>
      </c>
      <c r="G161" s="16">
        <v>0.60606060606060608</v>
      </c>
      <c r="H161" s="16">
        <v>0.70909090909090911</v>
      </c>
      <c r="I161" s="16">
        <v>0.66203703703703709</v>
      </c>
      <c r="J161" s="16">
        <v>0.64745762711864407</v>
      </c>
      <c r="K161" s="16">
        <v>0.7174515235457064</v>
      </c>
      <c r="L161" s="16">
        <v>0.67091836734693877</v>
      </c>
      <c r="M161" s="16">
        <v>0.63589743589743586</v>
      </c>
      <c r="N161" s="16">
        <v>0.63492063492063489</v>
      </c>
      <c r="O161" s="16">
        <v>0.61363636363636365</v>
      </c>
      <c r="P161" s="16">
        <v>0.63779527559055116</v>
      </c>
      <c r="Q161" s="16">
        <v>0.5759162303664922</v>
      </c>
      <c r="R161" s="16">
        <v>0.65625</v>
      </c>
      <c r="S161" s="16">
        <v>0.64077669902912626</v>
      </c>
      <c r="T161" s="89">
        <f t="shared" si="37"/>
        <v>-0.66809280895178125</v>
      </c>
      <c r="U161" s="89">
        <f t="shared" si="38"/>
        <v>2.7140335392762616</v>
      </c>
      <c r="V161" s="89">
        <f t="shared" si="39"/>
        <v>-1.5473300970873738</v>
      </c>
    </row>
    <row r="162" spans="1:22" x14ac:dyDescent="0.25">
      <c r="A162" s="15" t="s">
        <v>20</v>
      </c>
      <c r="B162" s="16">
        <v>0.796875</v>
      </c>
      <c r="C162" s="16">
        <v>0.64923747276688448</v>
      </c>
      <c r="D162" s="16">
        <v>0.75799086757990863</v>
      </c>
      <c r="E162" s="16">
        <v>0.69982847341337906</v>
      </c>
      <c r="F162" s="16">
        <v>0.60730593607305938</v>
      </c>
      <c r="G162" s="16">
        <v>0.62767295597484274</v>
      </c>
      <c r="H162" s="16">
        <v>0.62057522123893805</v>
      </c>
      <c r="I162" s="16">
        <v>0.63136729222520105</v>
      </c>
      <c r="J162" s="16">
        <v>0.62816901408450709</v>
      </c>
      <c r="K162" s="16">
        <v>0.71739130434782605</v>
      </c>
      <c r="L162" s="16">
        <v>0.65822784810126578</v>
      </c>
      <c r="M162" s="16">
        <v>0.65316718587746625</v>
      </c>
      <c r="N162" s="16">
        <v>0.58989424206815511</v>
      </c>
      <c r="O162" s="16">
        <v>0.62686567164179108</v>
      </c>
      <c r="P162" s="16">
        <v>0.63567073170731703</v>
      </c>
      <c r="Q162" s="16">
        <v>0.65303030303030307</v>
      </c>
      <c r="R162" s="16">
        <v>0.6654867256637168</v>
      </c>
      <c r="S162" s="16">
        <v>0.63523573200992556</v>
      </c>
      <c r="T162" s="89">
        <f t="shared" si="37"/>
        <v>0.70667179254184642</v>
      </c>
      <c r="U162" s="89">
        <f t="shared" si="38"/>
        <v>0.83700603681344798</v>
      </c>
      <c r="V162" s="89">
        <f t="shared" si="39"/>
        <v>-3.0250993653791247</v>
      </c>
    </row>
    <row r="163" spans="1:22" x14ac:dyDescent="0.25">
      <c r="A163" s="15" t="s">
        <v>380</v>
      </c>
      <c r="B163" s="16">
        <v>0.82291666666666663</v>
      </c>
      <c r="C163" s="16">
        <v>0.75324675324675328</v>
      </c>
      <c r="D163" s="16">
        <v>0.65546218487394958</v>
      </c>
      <c r="E163" s="16">
        <v>0.67431192660550454</v>
      </c>
      <c r="F163" s="16">
        <v>0.44843049327354262</v>
      </c>
      <c r="G163" s="16">
        <v>0.58798283261802575</v>
      </c>
      <c r="H163" s="16">
        <v>0.57827476038338654</v>
      </c>
      <c r="I163" s="16">
        <v>0.63665594855305463</v>
      </c>
      <c r="J163" s="16">
        <v>0.61976047904191611</v>
      </c>
      <c r="K163" s="16">
        <v>0.59562841530054644</v>
      </c>
      <c r="L163" s="16">
        <v>0.59277108433734937</v>
      </c>
      <c r="M163" s="16">
        <v>0.63005780346820806</v>
      </c>
      <c r="N163" s="16">
        <v>0.55102040816326525</v>
      </c>
      <c r="O163" s="16">
        <v>0.60856269113149852</v>
      </c>
      <c r="P163" s="16">
        <v>0.61648745519713266</v>
      </c>
      <c r="Q163" s="16">
        <v>0.58741258741258739</v>
      </c>
      <c r="R163" s="16">
        <v>0.57894736842105265</v>
      </c>
      <c r="S163" s="16">
        <v>0.62815884476534301</v>
      </c>
      <c r="T163" s="89">
        <f t="shared" si="37"/>
        <v>0.83983657234268927</v>
      </c>
      <c r="U163" s="89">
        <f t="shared" si="38"/>
        <v>1.9596153633844482</v>
      </c>
      <c r="V163" s="89">
        <f t="shared" si="39"/>
        <v>4.921147634429035</v>
      </c>
    </row>
    <row r="164" spans="1:22" x14ac:dyDescent="0.25">
      <c r="A164" s="15" t="s">
        <v>18</v>
      </c>
      <c r="B164" s="16">
        <v>0.9042553191489362</v>
      </c>
      <c r="C164" s="16">
        <v>0.76699029126213591</v>
      </c>
      <c r="D164" s="16">
        <v>0.80952380952380953</v>
      </c>
      <c r="E164" s="16">
        <v>0.76521739130434785</v>
      </c>
      <c r="F164" s="16">
        <v>0.76315789473684215</v>
      </c>
      <c r="G164" s="16">
        <v>0.82524271844660191</v>
      </c>
      <c r="H164" s="16">
        <v>0.75</v>
      </c>
      <c r="I164" s="16">
        <v>0.8045977011494253</v>
      </c>
      <c r="J164" s="16">
        <v>0.81</v>
      </c>
      <c r="K164" s="16">
        <v>0.88596491228070173</v>
      </c>
      <c r="L164" s="16">
        <v>0.85321100917431192</v>
      </c>
      <c r="M164" s="16">
        <v>0.8515625</v>
      </c>
      <c r="N164" s="16">
        <v>0.72580645161290325</v>
      </c>
      <c r="O164" s="16">
        <v>0.78620689655172415</v>
      </c>
      <c r="P164" s="16">
        <v>0.75193798449612403</v>
      </c>
      <c r="Q164" s="16">
        <v>0.59493670886075944</v>
      </c>
      <c r="R164" s="16">
        <v>0.65771812080536918</v>
      </c>
      <c r="S164" s="16">
        <v>0.62804878048780488</v>
      </c>
      <c r="T164" s="89">
        <f t="shared" si="37"/>
        <v>-18.195121951219516</v>
      </c>
      <c r="U164" s="89">
        <f t="shared" si="38"/>
        <v>-15.815811606391927</v>
      </c>
      <c r="V164" s="89">
        <f t="shared" si="39"/>
        <v>-2.9669340317564297</v>
      </c>
    </row>
    <row r="165" spans="1:22" x14ac:dyDescent="0.25">
      <c r="A165" s="15" t="s">
        <v>314</v>
      </c>
      <c r="B165" s="16">
        <v>0.6915351506456241</v>
      </c>
      <c r="C165" s="16">
        <v>0.65233415233415237</v>
      </c>
      <c r="D165" s="16">
        <v>0.66176470588235292</v>
      </c>
      <c r="E165" s="16">
        <v>0.68292682926829273</v>
      </c>
      <c r="F165" s="16">
        <v>0.67602339181286553</v>
      </c>
      <c r="G165" s="16">
        <v>0.65876777251184837</v>
      </c>
      <c r="H165" s="16">
        <v>0.67394468704512378</v>
      </c>
      <c r="I165" s="16">
        <v>0.65887207702888584</v>
      </c>
      <c r="J165" s="16">
        <v>0.68709677419354842</v>
      </c>
      <c r="K165" s="16">
        <v>0.68622222222222218</v>
      </c>
      <c r="L165" s="16">
        <v>0.66454545454545455</v>
      </c>
      <c r="M165" s="16">
        <v>0.68516284680337758</v>
      </c>
      <c r="N165" s="16">
        <v>0.70534550195567147</v>
      </c>
      <c r="O165" s="16">
        <v>0.75105485232067515</v>
      </c>
      <c r="P165" s="16">
        <v>0.73544093178036607</v>
      </c>
      <c r="Q165" s="16">
        <v>0.625</v>
      </c>
      <c r="R165" s="16">
        <v>0.6769596199524941</v>
      </c>
      <c r="S165" s="16">
        <v>0.62240663900414939</v>
      </c>
      <c r="T165" s="89">
        <f t="shared" si="37"/>
        <v>-6.469013518939903</v>
      </c>
      <c r="U165" s="89">
        <f t="shared" si="38"/>
        <v>-12.864821331652577</v>
      </c>
      <c r="V165" s="89">
        <f t="shared" si="39"/>
        <v>-5.4552980948344709</v>
      </c>
    </row>
    <row r="166" spans="1:22" x14ac:dyDescent="0.25">
      <c r="A166" s="15" t="s">
        <v>389</v>
      </c>
      <c r="B166" s="16">
        <v>0.67213114754098358</v>
      </c>
      <c r="C166" s="16">
        <v>0.76923076923076927</v>
      </c>
      <c r="D166" s="16">
        <v>0.77669902912621358</v>
      </c>
      <c r="E166" s="16">
        <v>0.75376884422110557</v>
      </c>
      <c r="F166" s="16">
        <v>0.67610062893081757</v>
      </c>
      <c r="G166" s="16">
        <v>0.67070217917675545</v>
      </c>
      <c r="H166" s="16">
        <v>0.52523874488403821</v>
      </c>
      <c r="I166" s="16">
        <v>0.57525773195876284</v>
      </c>
      <c r="J166" s="16">
        <v>0.63325183374083127</v>
      </c>
      <c r="K166" s="16">
        <v>0.64088397790055252</v>
      </c>
      <c r="L166" s="16">
        <v>0.60333333333333339</v>
      </c>
      <c r="M166" s="16">
        <v>0.69506726457399104</v>
      </c>
      <c r="N166" s="16">
        <v>0.61506276150627615</v>
      </c>
      <c r="O166" s="16">
        <v>0.77777777777777779</v>
      </c>
      <c r="P166" s="16">
        <v>0.78947368421052633</v>
      </c>
      <c r="Q166" s="16">
        <v>0.625</v>
      </c>
      <c r="R166" s="16">
        <v>0.66911764705882348</v>
      </c>
      <c r="S166" s="16">
        <v>0.59166666666666667</v>
      </c>
      <c r="T166" s="89">
        <f t="shared" si="37"/>
        <v>-4.1585167074164602</v>
      </c>
      <c r="U166" s="89">
        <f t="shared" si="38"/>
        <v>-18.611111111111111</v>
      </c>
      <c r="V166" s="89">
        <f t="shared" si="39"/>
        <v>-7.745098039215681</v>
      </c>
    </row>
    <row r="167" spans="1:22" x14ac:dyDescent="0.25">
      <c r="A167" s="15" t="s">
        <v>351</v>
      </c>
      <c r="B167" s="16">
        <v>0.92307692307692313</v>
      </c>
      <c r="C167" s="16" t="s">
        <v>62</v>
      </c>
      <c r="D167" s="16" t="s">
        <v>62</v>
      </c>
      <c r="E167" s="16" t="s">
        <v>62</v>
      </c>
      <c r="F167" s="16">
        <v>0.8571428571428571</v>
      </c>
      <c r="G167" s="16">
        <v>0.84210526315789469</v>
      </c>
      <c r="H167" s="16">
        <v>0.76595744680851063</v>
      </c>
      <c r="I167" s="16">
        <v>0.70588235294117652</v>
      </c>
      <c r="J167" s="16">
        <v>0.79487179487179482</v>
      </c>
      <c r="K167" s="16">
        <v>0.74647887323943662</v>
      </c>
      <c r="L167" s="16">
        <v>0.72</v>
      </c>
      <c r="M167" s="16">
        <v>0.73076923076923073</v>
      </c>
      <c r="N167" s="16" t="s">
        <v>62</v>
      </c>
      <c r="O167" s="16" t="s">
        <v>62</v>
      </c>
      <c r="P167" s="16" t="s">
        <v>62</v>
      </c>
      <c r="Q167" s="16" t="s">
        <v>62</v>
      </c>
      <c r="R167" s="16">
        <v>0.79646017699115046</v>
      </c>
      <c r="S167" s="16">
        <v>0.58252427184466016</v>
      </c>
      <c r="T167" s="89">
        <f t="shared" si="37"/>
        <v>-21.234752302713467</v>
      </c>
      <c r="U167" s="16" t="s">
        <v>62</v>
      </c>
      <c r="V167" s="89">
        <f t="shared" si="39"/>
        <v>-21.393590514649031</v>
      </c>
    </row>
    <row r="168" spans="1:22" x14ac:dyDescent="0.25">
      <c r="A168" s="15" t="s">
        <v>114</v>
      </c>
      <c r="B168" s="16">
        <v>0.7857142857142857</v>
      </c>
      <c r="C168" s="16">
        <v>0.76666666666666672</v>
      </c>
      <c r="D168" s="16">
        <v>0.6875</v>
      </c>
      <c r="E168" s="16">
        <v>0.5643564356435643</v>
      </c>
      <c r="F168" s="16">
        <v>0.50684931506849318</v>
      </c>
      <c r="G168" s="16">
        <v>0.51388888888888884</v>
      </c>
      <c r="H168" s="16">
        <v>0.4823848238482385</v>
      </c>
      <c r="I168" s="16">
        <v>0.47381546134663344</v>
      </c>
      <c r="J168" s="16">
        <v>0.54966887417218546</v>
      </c>
      <c r="K168" s="16">
        <v>0.50116009280742457</v>
      </c>
      <c r="L168" s="16">
        <v>0.5261958997722096</v>
      </c>
      <c r="M168" s="16">
        <v>0.4088176352705411</v>
      </c>
      <c r="N168" s="16">
        <v>0.42115384615384616</v>
      </c>
      <c r="O168" s="16">
        <v>0.44526901669758812</v>
      </c>
      <c r="P168" s="16">
        <v>0.36551724137931035</v>
      </c>
      <c r="Q168" s="16">
        <v>0.39173553719008264</v>
      </c>
      <c r="R168" s="16">
        <v>0.32573726541554959</v>
      </c>
      <c r="S168" s="16">
        <v>0.39930855661192738</v>
      </c>
      <c r="T168" s="89">
        <f t="shared" si="37"/>
        <v>-15.036031756025809</v>
      </c>
      <c r="U168" s="89">
        <f>(S168-O168)*100</f>
        <v>-4.5960460085660735</v>
      </c>
      <c r="V168" s="89">
        <f t="shared" si="39"/>
        <v>7.3571291196377784</v>
      </c>
    </row>
    <row r="169" spans="1:22" x14ac:dyDescent="0.25">
      <c r="A169" s="73" t="s">
        <v>410</v>
      </c>
      <c r="B169" s="36"/>
      <c r="C169" s="36"/>
      <c r="D169" s="36"/>
      <c r="E169" s="36"/>
      <c r="F169" s="36"/>
      <c r="G169" s="36"/>
    </row>
    <row r="170" spans="1:22" x14ac:dyDescent="0.25">
      <c r="A170" s="73"/>
      <c r="B170" s="36"/>
      <c r="C170" s="36"/>
      <c r="D170" s="36"/>
      <c r="E170" s="36"/>
      <c r="F170" s="36"/>
      <c r="G170" s="36"/>
    </row>
    <row r="171" spans="1:22" ht="18" x14ac:dyDescent="0.25">
      <c r="A171" s="11" t="s">
        <v>441</v>
      </c>
      <c r="B171" s="11"/>
      <c r="C171" s="11"/>
      <c r="D171" s="11"/>
      <c r="E171" s="11"/>
      <c r="F171" s="11"/>
      <c r="G171" s="11"/>
    </row>
    <row r="172" spans="1:22" ht="25.5" x14ac:dyDescent="0.25">
      <c r="A172" s="14" t="s">
        <v>449</v>
      </c>
      <c r="B172" s="38">
        <v>2007</v>
      </c>
      <c r="C172" s="38">
        <v>2008</v>
      </c>
      <c r="D172" s="38">
        <v>2009</v>
      </c>
      <c r="E172" s="38">
        <v>2010</v>
      </c>
      <c r="F172" s="38">
        <v>2011</v>
      </c>
      <c r="G172" s="38">
        <v>2012</v>
      </c>
      <c r="H172" s="38">
        <v>2013</v>
      </c>
      <c r="I172" s="38">
        <v>2014</v>
      </c>
      <c r="J172" s="38">
        <v>2015</v>
      </c>
      <c r="K172" s="38">
        <v>2016</v>
      </c>
      <c r="L172" s="38">
        <v>2017</v>
      </c>
      <c r="M172" s="38">
        <v>2018</v>
      </c>
      <c r="N172" s="38">
        <v>2019</v>
      </c>
      <c r="O172" s="38">
        <v>2020</v>
      </c>
      <c r="P172" s="38">
        <v>2021</v>
      </c>
      <c r="Q172" s="38">
        <v>2022</v>
      </c>
      <c r="R172" s="38">
        <v>2023</v>
      </c>
      <c r="S172" s="38">
        <v>2024</v>
      </c>
      <c r="T172" s="39" t="s">
        <v>373</v>
      </c>
      <c r="U172" s="39" t="s">
        <v>374</v>
      </c>
      <c r="V172" s="39" t="s">
        <v>375</v>
      </c>
    </row>
    <row r="173" spans="1:22" x14ac:dyDescent="0.25">
      <c r="A173" s="156" t="s">
        <v>35</v>
      </c>
      <c r="B173" s="157">
        <v>0.80056519983851437</v>
      </c>
      <c r="C173" s="157">
        <v>0.77451444812884884</v>
      </c>
      <c r="D173" s="157">
        <v>0.80430622009569375</v>
      </c>
      <c r="E173" s="157">
        <v>0.81650671785028794</v>
      </c>
      <c r="F173" s="157">
        <v>0.79576194770063124</v>
      </c>
      <c r="G173" s="157">
        <v>0.65102230483271373</v>
      </c>
      <c r="H173" s="157">
        <v>0.77539813289401427</v>
      </c>
      <c r="I173" s="157">
        <v>0.80026281208935612</v>
      </c>
      <c r="J173" s="157">
        <v>0.774866569626395</v>
      </c>
      <c r="K173" s="157">
        <v>0.80607016160819867</v>
      </c>
      <c r="L173" s="157">
        <v>0.85682940208447611</v>
      </c>
      <c r="M173" s="157">
        <v>0.84237578526556256</v>
      </c>
      <c r="N173" s="157">
        <v>0.86080821039127642</v>
      </c>
      <c r="O173" s="157">
        <v>0.91518467852257179</v>
      </c>
      <c r="P173" s="157">
        <v>0.89937597503900157</v>
      </c>
      <c r="Q173" s="157">
        <v>0.88312757201646086</v>
      </c>
      <c r="R173" s="157">
        <v>0.88697104677060135</v>
      </c>
      <c r="S173" s="157">
        <v>0.87272727272727268</v>
      </c>
      <c r="T173" s="158">
        <f t="shared" ref="T173:T185" si="40">(S173-J173)*100</f>
        <v>9.7860703100877693</v>
      </c>
      <c r="U173" s="158">
        <f t="shared" ref="U173:U185" si="41">(S173-O173)*100</f>
        <v>-4.2457405795299108</v>
      </c>
      <c r="V173" s="158">
        <f t="shared" ref="V173:V185" si="42">(S173-R173)*100</f>
        <v>-1.4243774043328661</v>
      </c>
    </row>
    <row r="174" spans="1:22" x14ac:dyDescent="0.25">
      <c r="A174" s="156" t="s">
        <v>44</v>
      </c>
      <c r="B174" s="157">
        <v>0.86702127659574468</v>
      </c>
      <c r="C174" s="157">
        <v>0.87709090909090914</v>
      </c>
      <c r="D174" s="157">
        <v>0.90372272143774068</v>
      </c>
      <c r="E174" s="157">
        <v>0.87369001654715939</v>
      </c>
      <c r="F174" s="157">
        <v>0.84571129707112969</v>
      </c>
      <c r="G174" s="157">
        <v>0.75523889354568319</v>
      </c>
      <c r="H174" s="157">
        <v>0.79539242483404915</v>
      </c>
      <c r="I174" s="157">
        <v>0.79750644883920896</v>
      </c>
      <c r="J174" s="157">
        <v>0.80913348946135832</v>
      </c>
      <c r="K174" s="157">
        <v>0.80184489238127776</v>
      </c>
      <c r="L174" s="157">
        <v>0.88450860632981676</v>
      </c>
      <c r="M174" s="157">
        <v>0.87582089552238807</v>
      </c>
      <c r="N174" s="157">
        <v>0.8809946714031972</v>
      </c>
      <c r="O174" s="157">
        <v>0.93065941536369812</v>
      </c>
      <c r="P174" s="157">
        <v>0.89424703891708968</v>
      </c>
      <c r="Q174" s="157">
        <v>0.89493791786055399</v>
      </c>
      <c r="R174" s="157">
        <v>0.89504716981132071</v>
      </c>
      <c r="S174" s="157">
        <v>0.90904311251314407</v>
      </c>
      <c r="T174" s="158">
        <f t="shared" si="40"/>
        <v>9.9909623051785736</v>
      </c>
      <c r="U174" s="158">
        <f t="shared" si="41"/>
        <v>-2.1616302850554048</v>
      </c>
      <c r="V174" s="158">
        <f t="shared" si="42"/>
        <v>1.3995942701823361</v>
      </c>
    </row>
    <row r="175" spans="1:22" x14ac:dyDescent="0.25">
      <c r="A175" s="156" t="s">
        <v>42</v>
      </c>
      <c r="B175" s="157">
        <v>0.77764036606480336</v>
      </c>
      <c r="C175" s="157">
        <v>0.80026542800265432</v>
      </c>
      <c r="D175" s="157">
        <v>0.79898326625714888</v>
      </c>
      <c r="E175" s="157">
        <v>0.81358024691358022</v>
      </c>
      <c r="F175" s="157">
        <v>0.77584354180098858</v>
      </c>
      <c r="G175" s="157">
        <v>0.76016068052930053</v>
      </c>
      <c r="H175" s="157">
        <v>0.78077158603796692</v>
      </c>
      <c r="I175" s="157">
        <v>0.7994951316263974</v>
      </c>
      <c r="J175" s="157">
        <v>0.80502267178235087</v>
      </c>
      <c r="K175" s="157">
        <v>0.80554616165032122</v>
      </c>
      <c r="L175" s="157">
        <v>0.8716517857142857</v>
      </c>
      <c r="M175" s="157">
        <v>0.87524950099800403</v>
      </c>
      <c r="N175" s="157">
        <v>0.82675906183368875</v>
      </c>
      <c r="O175" s="157">
        <v>0.87534059945504084</v>
      </c>
      <c r="P175" s="157">
        <v>0.88940520446096649</v>
      </c>
      <c r="Q175" s="157">
        <v>0.90144927536231889</v>
      </c>
      <c r="R175" s="157">
        <v>0.87106017191977081</v>
      </c>
      <c r="S175" s="157">
        <v>0.87420382165605093</v>
      </c>
      <c r="T175" s="158">
        <f t="shared" si="40"/>
        <v>6.9181149873700054</v>
      </c>
      <c r="U175" s="158">
        <f t="shared" si="41"/>
        <v>-0.11367777989899075</v>
      </c>
      <c r="V175" s="158">
        <f t="shared" si="42"/>
        <v>0.31436497362801186</v>
      </c>
    </row>
    <row r="176" spans="1:22" x14ac:dyDescent="0.25">
      <c r="A176" s="156" t="s">
        <v>220</v>
      </c>
      <c r="B176" s="157">
        <v>0.77420650863800722</v>
      </c>
      <c r="C176" s="157">
        <v>0.7504607445632141</v>
      </c>
      <c r="D176" s="157">
        <v>0.79359301055697129</v>
      </c>
      <c r="E176" s="157">
        <v>0.81884587289992694</v>
      </c>
      <c r="F176" s="157">
        <v>0.78231522105973672</v>
      </c>
      <c r="G176" s="157">
        <v>0.74160952724648144</v>
      </c>
      <c r="H176" s="157">
        <v>0.77589208006962573</v>
      </c>
      <c r="I176" s="157">
        <v>0.80995691718525609</v>
      </c>
      <c r="J176" s="157">
        <v>0.76260401370533526</v>
      </c>
      <c r="K176" s="157">
        <v>0.80850024425989253</v>
      </c>
      <c r="L176" s="157">
        <v>0.8315850815850816</v>
      </c>
      <c r="M176" s="157">
        <v>0.82223360655737709</v>
      </c>
      <c r="N176" s="157">
        <v>0.82044628956927868</v>
      </c>
      <c r="O176" s="157">
        <v>0.85737615677735435</v>
      </c>
      <c r="P176" s="157">
        <v>0.85266666666666668</v>
      </c>
      <c r="Q176" s="157">
        <v>0.864797507788162</v>
      </c>
      <c r="R176" s="157">
        <v>0.83955600403632691</v>
      </c>
      <c r="S176" s="157">
        <v>0.86399999999999999</v>
      </c>
      <c r="T176" s="158">
        <f t="shared" si="40"/>
        <v>10.139598629466473</v>
      </c>
      <c r="U176" s="158">
        <f t="shared" si="41"/>
        <v>0.66238432226456423</v>
      </c>
      <c r="V176" s="158">
        <f t="shared" si="42"/>
        <v>2.4443995963673082</v>
      </c>
    </row>
    <row r="177" spans="1:22" x14ac:dyDescent="0.25">
      <c r="A177" s="156" t="s">
        <v>349</v>
      </c>
      <c r="B177" s="157">
        <v>0.749018797769056</v>
      </c>
      <c r="C177" s="157">
        <v>0.76816347124117057</v>
      </c>
      <c r="D177" s="157">
        <v>0.79135135135135137</v>
      </c>
      <c r="E177" s="157">
        <v>0.8051561725334655</v>
      </c>
      <c r="F177" s="157">
        <v>0.76843352087651762</v>
      </c>
      <c r="G177" s="157">
        <v>0.75125944584382875</v>
      </c>
      <c r="H177" s="157">
        <v>0.77417998317914216</v>
      </c>
      <c r="I177" s="157">
        <v>0.78413865546218486</v>
      </c>
      <c r="J177" s="157">
        <v>0.81559888579387185</v>
      </c>
      <c r="K177" s="157">
        <v>0.82268370607028751</v>
      </c>
      <c r="L177" s="157">
        <v>0.89176741508347723</v>
      </c>
      <c r="M177" s="157">
        <v>0.86363636363636365</v>
      </c>
      <c r="N177" s="157">
        <v>0.86088379705400986</v>
      </c>
      <c r="O177" s="157">
        <v>0.91933570581257418</v>
      </c>
      <c r="P177" s="157">
        <v>0.87332808811959084</v>
      </c>
      <c r="Q177" s="157">
        <v>0.86341929321872013</v>
      </c>
      <c r="R177" s="157">
        <v>0.88895417156286727</v>
      </c>
      <c r="S177" s="157">
        <v>0.88715744223535731</v>
      </c>
      <c r="T177" s="158">
        <f t="shared" si="40"/>
        <v>7.155855644148545</v>
      </c>
      <c r="U177" s="158">
        <f t="shared" si="41"/>
        <v>-3.217826357721687</v>
      </c>
      <c r="V177" s="158">
        <f t="shared" si="42"/>
        <v>-0.17967293275099605</v>
      </c>
    </row>
    <row r="178" spans="1:22" x14ac:dyDescent="0.25">
      <c r="A178" s="156" t="s">
        <v>442</v>
      </c>
      <c r="B178" s="157">
        <v>0.82507903055848264</v>
      </c>
      <c r="C178" s="157">
        <v>0.84003925417075564</v>
      </c>
      <c r="D178" s="157">
        <v>0.83794089609151567</v>
      </c>
      <c r="E178" s="157">
        <v>0.81767441860465118</v>
      </c>
      <c r="F178" s="157">
        <v>0.81646168401135288</v>
      </c>
      <c r="G178" s="157">
        <v>0.82554814108674923</v>
      </c>
      <c r="H178" s="157">
        <v>0.79470198675496684</v>
      </c>
      <c r="I178" s="157">
        <v>0.78935185185185186</v>
      </c>
      <c r="J178" s="157">
        <v>0.79247434435575825</v>
      </c>
      <c r="K178" s="157">
        <v>0.80891719745222934</v>
      </c>
      <c r="L178" s="157">
        <v>0.83881578947368418</v>
      </c>
      <c r="M178" s="157">
        <v>0.83493282149712089</v>
      </c>
      <c r="N178" s="157">
        <v>0.82448244824482453</v>
      </c>
      <c r="O178" s="157">
        <v>0.85459662288930582</v>
      </c>
      <c r="P178" s="157">
        <v>0.8601226993865031</v>
      </c>
      <c r="Q178" s="157">
        <v>0.87331536388140163</v>
      </c>
      <c r="R178" s="157">
        <v>0.86621751684311843</v>
      </c>
      <c r="S178" s="157">
        <v>0.85108481262327418</v>
      </c>
      <c r="T178" s="158">
        <f t="shared" si="40"/>
        <v>5.8610468267515925</v>
      </c>
      <c r="U178" s="158">
        <f t="shared" si="41"/>
        <v>-0.35118102660316453</v>
      </c>
      <c r="V178" s="158">
        <f t="shared" si="42"/>
        <v>-1.5132704219844251</v>
      </c>
    </row>
    <row r="179" spans="1:22" x14ac:dyDescent="0.25">
      <c r="A179" s="156" t="s">
        <v>443</v>
      </c>
      <c r="B179" s="157">
        <v>0.74450549450549453</v>
      </c>
      <c r="C179" s="157">
        <v>0.78799019607843135</v>
      </c>
      <c r="D179" s="157">
        <v>0.81373762376237624</v>
      </c>
      <c r="E179" s="157">
        <v>0.77751618599175987</v>
      </c>
      <c r="F179" s="157">
        <v>0.7400651465798046</v>
      </c>
      <c r="G179" s="157">
        <v>0.71974965229485399</v>
      </c>
      <c r="H179" s="157">
        <v>0.70546105640107426</v>
      </c>
      <c r="I179" s="157">
        <v>0.701171875</v>
      </c>
      <c r="J179" s="157">
        <v>0.71533613445378152</v>
      </c>
      <c r="K179" s="157">
        <v>0.76548223350253808</v>
      </c>
      <c r="L179" s="157">
        <v>0.823943661971831</v>
      </c>
      <c r="M179" s="157">
        <v>0.72828282828282831</v>
      </c>
      <c r="N179" s="157">
        <v>0.76160990712074306</v>
      </c>
      <c r="O179" s="157">
        <v>0.83505154639175261</v>
      </c>
      <c r="P179" s="157">
        <v>0.82701812191103785</v>
      </c>
      <c r="Q179" s="157">
        <v>0.81834215167548496</v>
      </c>
      <c r="R179" s="157">
        <v>0.85204081632653061</v>
      </c>
      <c r="S179" s="157">
        <v>0.81172839506172845</v>
      </c>
      <c r="T179" s="158">
        <f t="shared" si="40"/>
        <v>9.6392260607946927</v>
      </c>
      <c r="U179" s="158">
        <f t="shared" si="41"/>
        <v>-2.3323151330024161</v>
      </c>
      <c r="V179" s="158">
        <f t="shared" si="42"/>
        <v>-4.0312421264802172</v>
      </c>
    </row>
    <row r="180" spans="1:22" x14ac:dyDescent="0.25">
      <c r="A180" s="156" t="s">
        <v>444</v>
      </c>
      <c r="B180" s="157">
        <v>0.82537834691501744</v>
      </c>
      <c r="C180" s="157">
        <v>0.76130389064143011</v>
      </c>
      <c r="D180" s="157">
        <v>0.79051383399209485</v>
      </c>
      <c r="E180" s="157">
        <v>0.76056338028169013</v>
      </c>
      <c r="F180" s="157">
        <v>0.78542510121457487</v>
      </c>
      <c r="G180" s="157">
        <v>0.73985239852398521</v>
      </c>
      <c r="H180" s="157">
        <v>0.76327944572748263</v>
      </c>
      <c r="I180" s="157">
        <v>0.77571251548946718</v>
      </c>
      <c r="J180" s="157">
        <v>0.7324913892078071</v>
      </c>
      <c r="K180" s="157">
        <v>0.74938574938574942</v>
      </c>
      <c r="L180" s="157">
        <v>0.80612244897959184</v>
      </c>
      <c r="M180" s="157">
        <v>0.81596884128529701</v>
      </c>
      <c r="N180" s="157">
        <v>0.82241215574548909</v>
      </c>
      <c r="O180" s="157">
        <v>0.85528942115768458</v>
      </c>
      <c r="P180" s="157">
        <v>0.81194409148665825</v>
      </c>
      <c r="Q180" s="157">
        <v>0.78707782672540383</v>
      </c>
      <c r="R180" s="157">
        <v>0.82738095238095233</v>
      </c>
      <c r="S180" s="157">
        <v>0.77627118644067794</v>
      </c>
      <c r="T180" s="158">
        <f t="shared" si="40"/>
        <v>4.3779797232870843</v>
      </c>
      <c r="U180" s="158">
        <f t="shared" si="41"/>
        <v>-7.9018234717006646</v>
      </c>
      <c r="V180" s="158">
        <f t="shared" si="42"/>
        <v>-5.1109765940274388</v>
      </c>
    </row>
    <row r="181" spans="1:22" x14ac:dyDescent="0.25">
      <c r="A181" s="156" t="s">
        <v>445</v>
      </c>
      <c r="B181" s="157">
        <v>0.79069767441860461</v>
      </c>
      <c r="C181" s="157">
        <v>0.75030902348578488</v>
      </c>
      <c r="D181" s="157">
        <v>0.78113207547169816</v>
      </c>
      <c r="E181" s="157">
        <v>0.77415458937198067</v>
      </c>
      <c r="F181" s="157">
        <v>0.71749408983451535</v>
      </c>
      <c r="G181" s="157">
        <v>0.75764993880048959</v>
      </c>
      <c r="H181" s="157">
        <v>0.73324742268041232</v>
      </c>
      <c r="I181" s="157">
        <v>0.73837981407702524</v>
      </c>
      <c r="J181" s="157">
        <v>0.75933075933075933</v>
      </c>
      <c r="K181" s="157">
        <v>0.80829015544041449</v>
      </c>
      <c r="L181" s="157">
        <v>0.84649122807017541</v>
      </c>
      <c r="M181" s="157">
        <v>0.81693989071038253</v>
      </c>
      <c r="N181" s="157">
        <v>0.79753761969904235</v>
      </c>
      <c r="O181" s="157">
        <v>0.86018237082066873</v>
      </c>
      <c r="P181" s="157">
        <v>0.80174291938997821</v>
      </c>
      <c r="Q181" s="157">
        <v>0.86797066014669921</v>
      </c>
      <c r="R181" s="157">
        <v>0.82213438735177868</v>
      </c>
      <c r="S181" s="157">
        <v>0.84271844660194173</v>
      </c>
      <c r="T181" s="158">
        <f t="shared" si="40"/>
        <v>8.3387687271182394</v>
      </c>
      <c r="U181" s="158">
        <f t="shared" si="41"/>
        <v>-1.7463924218727001</v>
      </c>
      <c r="V181" s="158">
        <f t="shared" si="42"/>
        <v>2.0584059250163045</v>
      </c>
    </row>
    <row r="182" spans="1:22" x14ac:dyDescent="0.25">
      <c r="A182" s="156" t="s">
        <v>446</v>
      </c>
      <c r="B182" s="157">
        <v>0.80561122244488981</v>
      </c>
      <c r="C182" s="157">
        <v>0.78180039138943247</v>
      </c>
      <c r="D182" s="157">
        <v>0.79624134520276957</v>
      </c>
      <c r="E182" s="157">
        <v>0.76875642343268247</v>
      </c>
      <c r="F182" s="157">
        <v>0.77292576419213976</v>
      </c>
      <c r="G182" s="157">
        <v>0.77489177489177485</v>
      </c>
      <c r="H182" s="157">
        <v>0.78260869565217395</v>
      </c>
      <c r="I182" s="157">
        <v>0.77877697841726623</v>
      </c>
      <c r="J182" s="157">
        <v>0.77322834645669292</v>
      </c>
      <c r="K182" s="157">
        <v>0.78084179970972423</v>
      </c>
      <c r="L182" s="157">
        <v>0.82479784366576825</v>
      </c>
      <c r="M182" s="157">
        <v>0.77441860465116275</v>
      </c>
      <c r="N182" s="157">
        <v>0.82623705408515535</v>
      </c>
      <c r="O182" s="157">
        <v>0.88437102922490474</v>
      </c>
      <c r="P182" s="157">
        <v>0.84855233853006684</v>
      </c>
      <c r="Q182" s="157">
        <v>0.81159420289855078</v>
      </c>
      <c r="R182" s="157">
        <v>0.79541108986615683</v>
      </c>
      <c r="S182" s="157">
        <v>0.81818181818181823</v>
      </c>
      <c r="T182" s="158">
        <f t="shared" si="40"/>
        <v>4.4953471725125311</v>
      </c>
      <c r="U182" s="158">
        <f t="shared" si="41"/>
        <v>-6.6189211043086509</v>
      </c>
      <c r="V182" s="158">
        <f t="shared" si="42"/>
        <v>2.2770728315661404</v>
      </c>
    </row>
    <row r="183" spans="1:22" x14ac:dyDescent="0.25">
      <c r="A183" s="156" t="s">
        <v>447</v>
      </c>
      <c r="B183" s="157">
        <v>0.74811083123425692</v>
      </c>
      <c r="C183" s="157">
        <v>0.76848874598070738</v>
      </c>
      <c r="D183" s="157">
        <v>0.80373831775700932</v>
      </c>
      <c r="E183" s="157">
        <v>0.7279411764705882</v>
      </c>
      <c r="F183" s="157">
        <v>0.69787234042553192</v>
      </c>
      <c r="G183" s="157">
        <v>0.65079365079365081</v>
      </c>
      <c r="H183" s="157">
        <v>0.47058823529411764</v>
      </c>
      <c r="I183" s="157">
        <v>0.6919642857142857</v>
      </c>
      <c r="J183" s="157">
        <v>0.67965367965367962</v>
      </c>
      <c r="K183" s="157">
        <v>0.63601532567049812</v>
      </c>
      <c r="L183" s="157">
        <v>0.67298578199052128</v>
      </c>
      <c r="M183" s="157">
        <v>0.67632850241545894</v>
      </c>
      <c r="N183" s="157">
        <v>0.70059880239520955</v>
      </c>
      <c r="O183" s="157">
        <v>0.77297297297297296</v>
      </c>
      <c r="P183" s="157">
        <v>0.71</v>
      </c>
      <c r="Q183" s="157">
        <v>0.69047619047619047</v>
      </c>
      <c r="R183" s="157">
        <v>0.75</v>
      </c>
      <c r="S183" s="157">
        <v>0.73636363636363633</v>
      </c>
      <c r="T183" s="158">
        <f t="shared" si="40"/>
        <v>5.670995670995671</v>
      </c>
      <c r="U183" s="158">
        <f t="shared" si="41"/>
        <v>-3.6609336609336629</v>
      </c>
      <c r="V183" s="158">
        <f t="shared" si="42"/>
        <v>-1.3636363636363669</v>
      </c>
    </row>
    <row r="184" spans="1:22" x14ac:dyDescent="0.25">
      <c r="A184" s="156" t="s">
        <v>448</v>
      </c>
      <c r="B184" s="157">
        <v>0.6785714285714286</v>
      </c>
      <c r="C184" s="157">
        <v>0.8666666666666667</v>
      </c>
      <c r="D184" s="157">
        <v>0.8571428571428571</v>
      </c>
      <c r="E184" s="157">
        <v>0.88888888888888884</v>
      </c>
      <c r="F184" s="157">
        <v>0.35294117647058826</v>
      </c>
      <c r="G184" s="157" t="s">
        <v>62</v>
      </c>
      <c r="H184" s="157" t="s">
        <v>62</v>
      </c>
      <c r="I184" s="157" t="s">
        <v>62</v>
      </c>
      <c r="J184" s="157" t="s">
        <v>62</v>
      </c>
      <c r="K184" s="157" t="s">
        <v>62</v>
      </c>
      <c r="L184" s="157" t="s">
        <v>62</v>
      </c>
      <c r="M184" s="157" t="s">
        <v>62</v>
      </c>
      <c r="N184" s="157" t="s">
        <v>62</v>
      </c>
      <c r="O184" s="157" t="s">
        <v>62</v>
      </c>
      <c r="P184" s="157" t="s">
        <v>62</v>
      </c>
      <c r="Q184" s="157" t="s">
        <v>62</v>
      </c>
      <c r="R184" s="157" t="s">
        <v>62</v>
      </c>
      <c r="S184" s="157" t="s">
        <v>62</v>
      </c>
      <c r="T184" s="157" t="s">
        <v>62</v>
      </c>
      <c r="U184" s="157" t="s">
        <v>62</v>
      </c>
      <c r="V184" s="157" t="s">
        <v>62</v>
      </c>
    </row>
    <row r="185" spans="1:22" x14ac:dyDescent="0.25">
      <c r="A185" s="156" t="s">
        <v>1</v>
      </c>
      <c r="B185" s="157">
        <v>0.78164387561438509</v>
      </c>
      <c r="C185" s="157">
        <v>0.78558514537014412</v>
      </c>
      <c r="D185" s="157">
        <v>0.80740740740740746</v>
      </c>
      <c r="E185" s="157">
        <v>0.80855917510721786</v>
      </c>
      <c r="F185" s="157">
        <v>0.78033772180881511</v>
      </c>
      <c r="G185" s="157">
        <v>0.74242122058236937</v>
      </c>
      <c r="H185" s="157">
        <v>0.7676114800759013</v>
      </c>
      <c r="I185" s="157">
        <v>0.78459776310470286</v>
      </c>
      <c r="J185" s="157">
        <v>0.7818263033628996</v>
      </c>
      <c r="K185" s="157">
        <v>0.79885775477422805</v>
      </c>
      <c r="L185" s="157">
        <v>0.85188564476885642</v>
      </c>
      <c r="M185" s="157">
        <v>0.83281602708803615</v>
      </c>
      <c r="N185" s="157">
        <v>0.83270458502611722</v>
      </c>
      <c r="O185" s="157">
        <v>0.88223907081787389</v>
      </c>
      <c r="P185" s="157">
        <v>0.86251049538203195</v>
      </c>
      <c r="Q185" s="157">
        <v>0.86316509057764612</v>
      </c>
      <c r="R185" s="157">
        <v>0.86375566690527317</v>
      </c>
      <c r="S185" s="157">
        <v>0.86549617139763324</v>
      </c>
      <c r="T185" s="158">
        <f t="shared" si="40"/>
        <v>8.3669868034733632</v>
      </c>
      <c r="U185" s="158">
        <f t="shared" si="41"/>
        <v>-1.6742899420240653</v>
      </c>
      <c r="V185" s="158">
        <f t="shared" si="42"/>
        <v>0.17405044923600732</v>
      </c>
    </row>
    <row r="187" spans="1:22" x14ac:dyDescent="0.25">
      <c r="A187" s="82" t="s">
        <v>252</v>
      </c>
      <c r="B187" s="34"/>
      <c r="C187" s="34"/>
      <c r="D187" s="34"/>
      <c r="E187" s="34"/>
      <c r="F187" s="34"/>
      <c r="G187" s="34"/>
    </row>
    <row r="188" spans="1:22" x14ac:dyDescent="0.25">
      <c r="A188" s="5"/>
      <c r="B188" s="5"/>
      <c r="C188" s="5"/>
      <c r="D188" s="5"/>
      <c r="E188" s="5"/>
      <c r="F188" s="5"/>
      <c r="G188" s="5"/>
    </row>
    <row r="189" spans="1:22" x14ac:dyDescent="0.25">
      <c r="A189" s="29" t="s">
        <v>72</v>
      </c>
      <c r="B189" s="29"/>
      <c r="C189" s="29"/>
      <c r="D189" s="29"/>
      <c r="E189" s="29"/>
      <c r="F189" s="29"/>
      <c r="G189" s="29"/>
    </row>
    <row r="190" spans="1:22" x14ac:dyDescent="0.25">
      <c r="A190" s="73"/>
      <c r="B190" s="36"/>
      <c r="C190" s="36"/>
      <c r="D190" s="36"/>
      <c r="E190" s="36"/>
      <c r="F190" s="36"/>
      <c r="G190" s="36"/>
    </row>
    <row r="191" spans="1:22" x14ac:dyDescent="0.25">
      <c r="A191" s="73"/>
      <c r="B191" s="36"/>
      <c r="C191" s="36"/>
      <c r="D191" s="36"/>
      <c r="E191" s="36"/>
      <c r="F191" s="36"/>
      <c r="G191" s="36"/>
    </row>
    <row r="192" spans="1:22" x14ac:dyDescent="0.25">
      <c r="A192" s="73"/>
      <c r="B192" s="36"/>
      <c r="C192" s="36"/>
      <c r="D192" s="36"/>
      <c r="E192" s="36"/>
      <c r="F192" s="36"/>
      <c r="G192" s="36"/>
    </row>
  </sheetData>
  <sortState xmlns:xlrd2="http://schemas.microsoft.com/office/spreadsheetml/2017/richdata2" ref="A55:V85">
    <sortCondition descending="1" ref="S55:S85"/>
  </sortState>
  <hyperlinks>
    <hyperlink ref="A189" location="Indice!A1" display="Volver al índice" xr:uid="{C08B0707-6746-49C9-A55F-2AED876884C1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</sheetPr>
  <dimension ref="A1:Y249"/>
  <sheetViews>
    <sheetView showGridLines="0" zoomScale="80" zoomScaleNormal="80" workbookViewId="0">
      <pane ySplit="4" topLeftCell="A5" activePane="bottomLeft" state="frozen"/>
      <selection activeCell="C14" sqref="C14"/>
      <selection pane="bottomLeft" activeCell="A5" sqref="A5"/>
    </sheetView>
  </sheetViews>
  <sheetFormatPr baseColWidth="10" defaultRowHeight="15" x14ac:dyDescent="0.25"/>
  <cols>
    <col min="1" max="1" width="33.140625" style="24" customWidth="1"/>
    <col min="2" max="17" width="9.7109375" style="24" customWidth="1"/>
    <col min="18" max="19" width="11.85546875" style="24" customWidth="1"/>
    <col min="20" max="21" width="13.7109375" style="24" customWidth="1"/>
    <col min="22" max="22" width="11.42578125" style="24"/>
    <col min="23" max="25" width="8" style="24" customWidth="1"/>
    <col min="26" max="16384" width="11.42578125" style="24"/>
  </cols>
  <sheetData>
    <row r="1" spans="1:25" ht="21" x14ac:dyDescent="0.25">
      <c r="A1" s="33" t="s">
        <v>462</v>
      </c>
      <c r="B1" s="33"/>
      <c r="C1" s="33"/>
      <c r="D1" s="33"/>
      <c r="E1" s="33"/>
      <c r="F1" s="33"/>
      <c r="G1" s="33"/>
      <c r="H1" s="7"/>
      <c r="I1" s="7"/>
      <c r="J1" s="7"/>
      <c r="K1" s="7"/>
      <c r="L1" s="7"/>
    </row>
    <row r="2" spans="1:25" x14ac:dyDescent="0.25">
      <c r="A2" s="53"/>
      <c r="B2" s="53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5" x14ac:dyDescent="0.25">
      <c r="A3" s="54" t="s">
        <v>111</v>
      </c>
      <c r="B3" s="53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5" x14ac:dyDescent="0.25">
      <c r="A4"/>
      <c r="B4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5" ht="18" x14ac:dyDescent="0.25">
      <c r="A5" s="11" t="s">
        <v>451</v>
      </c>
      <c r="B5" s="11"/>
      <c r="C5" s="11"/>
      <c r="D5" s="11"/>
      <c r="E5" s="11"/>
      <c r="F5" s="11"/>
      <c r="G5" s="1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2"/>
    </row>
    <row r="6" spans="1:25" ht="45" customHeight="1" x14ac:dyDescent="0.25">
      <c r="A6" s="14" t="s">
        <v>331</v>
      </c>
      <c r="B6" s="38">
        <v>2007</v>
      </c>
      <c r="C6" s="38">
        <v>2008</v>
      </c>
      <c r="D6" s="38">
        <v>2009</v>
      </c>
      <c r="E6" s="38">
        <v>2010</v>
      </c>
      <c r="F6" s="38">
        <v>2011</v>
      </c>
      <c r="G6" s="38">
        <v>2012</v>
      </c>
      <c r="H6" s="38">
        <v>2013</v>
      </c>
      <c r="I6" s="38">
        <v>2014</v>
      </c>
      <c r="J6" s="38">
        <v>2015</v>
      </c>
      <c r="K6" s="38">
        <v>2016</v>
      </c>
      <c r="L6" s="38">
        <v>2017</v>
      </c>
      <c r="M6" s="38">
        <v>2018</v>
      </c>
      <c r="N6" s="38">
        <v>2019</v>
      </c>
      <c r="O6" s="38">
        <v>2020</v>
      </c>
      <c r="P6" s="38">
        <v>2021</v>
      </c>
      <c r="Q6" s="38">
        <v>2022</v>
      </c>
      <c r="R6" s="38">
        <v>2023</v>
      </c>
      <c r="S6" s="38">
        <v>2024</v>
      </c>
      <c r="T6" s="39" t="s">
        <v>373</v>
      </c>
      <c r="U6" s="39" t="s">
        <v>374</v>
      </c>
      <c r="V6" s="39" t="s">
        <v>375</v>
      </c>
    </row>
    <row r="7" spans="1:25" x14ac:dyDescent="0.25">
      <c r="A7" s="28" t="s">
        <v>294</v>
      </c>
      <c r="B7" s="62">
        <v>0.68992982423868954</v>
      </c>
      <c r="C7" s="62">
        <v>0.71903813342074518</v>
      </c>
      <c r="D7" s="62">
        <v>0.73385453084785102</v>
      </c>
      <c r="E7" s="62">
        <v>0.73850835935338521</v>
      </c>
      <c r="F7" s="62">
        <v>0.71561944372891362</v>
      </c>
      <c r="G7" s="62">
        <v>0.71271665020064157</v>
      </c>
      <c r="H7" s="62">
        <v>0.72255955995285204</v>
      </c>
      <c r="I7" s="62">
        <v>0.72979178688209267</v>
      </c>
      <c r="J7" s="62">
        <v>0.74156592849994785</v>
      </c>
      <c r="K7" s="62">
        <v>0.75528529073637074</v>
      </c>
      <c r="L7" s="62">
        <v>0.76379071653788211</v>
      </c>
      <c r="M7" s="62">
        <v>0.77300077233022202</v>
      </c>
      <c r="N7" s="62">
        <v>0.7620676342490379</v>
      </c>
      <c r="O7" s="62">
        <v>0.79456460300031839</v>
      </c>
      <c r="P7" s="62">
        <v>0.78253229011425729</v>
      </c>
      <c r="Q7" s="16">
        <v>0.7787548820882978</v>
      </c>
      <c r="R7" s="16">
        <v>0.78080260981750604</v>
      </c>
      <c r="S7" s="16">
        <v>0.79021778533783216</v>
      </c>
      <c r="T7" s="89">
        <f t="shared" ref="T7:T9" si="0">(S7-J7)*100</f>
        <v>4.8651856837884306</v>
      </c>
      <c r="U7" s="89">
        <f t="shared" ref="U7:U9" si="1">(S7-O7)*100</f>
        <v>-0.43468176624862354</v>
      </c>
      <c r="V7" s="89">
        <f t="shared" ref="V7:V9" si="2">(S7-R7)*100</f>
        <v>0.94151755203261134</v>
      </c>
      <c r="W7" s="148"/>
      <c r="X7" s="148"/>
      <c r="Y7" s="148"/>
    </row>
    <row r="8" spans="1:25" x14ac:dyDescent="0.25">
      <c r="A8" s="28" t="s">
        <v>295</v>
      </c>
      <c r="B8" s="62">
        <v>0.64428964220771801</v>
      </c>
      <c r="C8" s="62">
        <v>0.66332661938694337</v>
      </c>
      <c r="D8" s="62">
        <v>0.68349030212607231</v>
      </c>
      <c r="E8" s="62">
        <v>0.68275976701826313</v>
      </c>
      <c r="F8" s="62">
        <v>0.65207301673355245</v>
      </c>
      <c r="G8" s="62">
        <v>0.66487253058936047</v>
      </c>
      <c r="H8" s="62">
        <v>0.66545982971799755</v>
      </c>
      <c r="I8" s="62">
        <v>0.6742567994939912</v>
      </c>
      <c r="J8" s="62">
        <v>0.68074133457899089</v>
      </c>
      <c r="K8" s="62">
        <v>0.69027902618141479</v>
      </c>
      <c r="L8" s="62">
        <v>0.71390284314825692</v>
      </c>
      <c r="M8" s="62">
        <v>0.72174052450869064</v>
      </c>
      <c r="N8" s="62">
        <v>0.70658595385063716</v>
      </c>
      <c r="O8" s="62">
        <v>0.71185353156056552</v>
      </c>
      <c r="P8" s="62">
        <v>0.72377112275942967</v>
      </c>
      <c r="Q8" s="62">
        <v>0.7380029251062421</v>
      </c>
      <c r="R8" s="62">
        <v>0.74727599106223797</v>
      </c>
      <c r="S8" s="62">
        <v>0.75399570980421327</v>
      </c>
      <c r="T8" s="89">
        <f t="shared" si="0"/>
        <v>7.3254375225222379</v>
      </c>
      <c r="U8" s="89">
        <f t="shared" si="1"/>
        <v>4.2142178243647743</v>
      </c>
      <c r="V8" s="89">
        <f t="shared" si="2"/>
        <v>0.67197187419753002</v>
      </c>
      <c r="W8" s="148"/>
      <c r="X8" s="148"/>
      <c r="Y8" s="148"/>
    </row>
    <row r="9" spans="1:25" x14ac:dyDescent="0.25">
      <c r="A9" s="27" t="s">
        <v>108</v>
      </c>
      <c r="B9" s="40">
        <v>0.66658579105335991</v>
      </c>
      <c r="C9" s="40">
        <v>0.6912781111500006</v>
      </c>
      <c r="D9" s="40">
        <v>0.70922233792689326</v>
      </c>
      <c r="E9" s="40">
        <v>0.7113320616485761</v>
      </c>
      <c r="F9" s="40">
        <v>0.6846562721474132</v>
      </c>
      <c r="G9" s="40">
        <v>0.68973220651564271</v>
      </c>
      <c r="H9" s="40">
        <v>0.69461321726761271</v>
      </c>
      <c r="I9" s="40">
        <v>0.7024570399536062</v>
      </c>
      <c r="J9" s="40">
        <v>0.71157616916382926</v>
      </c>
      <c r="K9" s="40">
        <v>0.72363000835048441</v>
      </c>
      <c r="L9" s="40">
        <v>0.73983376445526472</v>
      </c>
      <c r="M9" s="40">
        <v>0.74877261002307971</v>
      </c>
      <c r="N9" s="40">
        <v>0.73562169704699432</v>
      </c>
      <c r="O9" s="40">
        <v>0.75559151532642077</v>
      </c>
      <c r="P9" s="40">
        <v>0.75558506614668253</v>
      </c>
      <c r="Q9" s="40">
        <v>0.75949903510144479</v>
      </c>
      <c r="R9" s="40">
        <v>0.76487132988940454</v>
      </c>
      <c r="S9" s="40">
        <v>0.77306330481553465</v>
      </c>
      <c r="T9" s="90">
        <f t="shared" si="0"/>
        <v>6.1487135651705387</v>
      </c>
      <c r="U9" s="90">
        <f t="shared" si="1"/>
        <v>1.7471789489113876</v>
      </c>
      <c r="V9" s="90">
        <f t="shared" si="2"/>
        <v>0.81919749261301078</v>
      </c>
      <c r="W9" s="148"/>
      <c r="X9" s="148"/>
      <c r="Y9" s="148"/>
    </row>
    <row r="10" spans="1:25" x14ac:dyDescent="0.25">
      <c r="A10" s="120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6"/>
      <c r="U10" s="116"/>
      <c r="W10" s="148"/>
      <c r="X10" s="148"/>
      <c r="Y10" s="148"/>
    </row>
    <row r="11" spans="1:25" ht="18" x14ac:dyDescent="0.25">
      <c r="A11" s="11" t="s">
        <v>452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W11" s="148"/>
      <c r="X11" s="148"/>
      <c r="Y11" s="148"/>
    </row>
    <row r="12" spans="1:25" ht="45" customHeight="1" x14ac:dyDescent="0.25">
      <c r="A12" s="14" t="s">
        <v>332</v>
      </c>
      <c r="B12" s="38">
        <v>2007</v>
      </c>
      <c r="C12" s="38">
        <v>2008</v>
      </c>
      <c r="D12" s="38">
        <v>2009</v>
      </c>
      <c r="E12" s="38">
        <v>2010</v>
      </c>
      <c r="F12" s="38">
        <v>2011</v>
      </c>
      <c r="G12" s="38">
        <v>2012</v>
      </c>
      <c r="H12" s="38">
        <v>2013</v>
      </c>
      <c r="I12" s="38">
        <v>2014</v>
      </c>
      <c r="J12" s="38">
        <v>2015</v>
      </c>
      <c r="K12" s="38">
        <v>2016</v>
      </c>
      <c r="L12" s="38">
        <v>2017</v>
      </c>
      <c r="M12" s="38">
        <v>2018</v>
      </c>
      <c r="N12" s="38">
        <v>2019</v>
      </c>
      <c r="O12" s="38">
        <v>2020</v>
      </c>
      <c r="P12" s="38">
        <v>2021</v>
      </c>
      <c r="Q12" s="38">
        <v>2022</v>
      </c>
      <c r="R12" s="38">
        <v>2023</v>
      </c>
      <c r="S12" s="38">
        <v>2024</v>
      </c>
      <c r="T12" s="39" t="s">
        <v>373</v>
      </c>
      <c r="U12" s="39" t="s">
        <v>374</v>
      </c>
      <c r="V12" s="39" t="s">
        <v>375</v>
      </c>
      <c r="W12" s="148"/>
      <c r="X12" s="148"/>
      <c r="Y12" s="148"/>
    </row>
    <row r="13" spans="1:25" x14ac:dyDescent="0.25">
      <c r="A13" s="81" t="s">
        <v>77</v>
      </c>
      <c r="B13" s="40">
        <v>0.68992982423868954</v>
      </c>
      <c r="C13" s="40">
        <v>0.71903813342074518</v>
      </c>
      <c r="D13" s="40">
        <v>0.73385453084785102</v>
      </c>
      <c r="E13" s="40">
        <v>0.73850835935338521</v>
      </c>
      <c r="F13" s="40">
        <v>0.71561944372891362</v>
      </c>
      <c r="G13" s="40">
        <v>0.71271665020064157</v>
      </c>
      <c r="H13" s="40">
        <v>0.72255955995285204</v>
      </c>
      <c r="I13" s="40">
        <v>0.72979178688209267</v>
      </c>
      <c r="J13" s="40">
        <v>0.74156592849994785</v>
      </c>
      <c r="K13" s="40">
        <v>0.75528529073637074</v>
      </c>
      <c r="L13" s="40">
        <v>0.76379071653788211</v>
      </c>
      <c r="M13" s="61">
        <v>0.77300077233022202</v>
      </c>
      <c r="N13" s="61">
        <v>0.7620676342490379</v>
      </c>
      <c r="O13" s="61">
        <v>0.79456460300031839</v>
      </c>
      <c r="P13" s="61">
        <v>0.78253229011425729</v>
      </c>
      <c r="Q13" s="18">
        <v>0.7787548820882978</v>
      </c>
      <c r="R13" s="18">
        <v>0.78080260981750604</v>
      </c>
      <c r="S13" s="18">
        <v>0.79021778533783216</v>
      </c>
      <c r="T13" s="90">
        <f t="shared" ref="T13:T21" si="3">(S13-J13)*100</f>
        <v>4.8651856837884306</v>
      </c>
      <c r="U13" s="90">
        <f t="shared" ref="U13:U21" si="4">(S13-O13)*100</f>
        <v>-0.43468176624862354</v>
      </c>
      <c r="V13" s="90">
        <f t="shared" ref="V13:V21" si="5">(S13-R13)*100</f>
        <v>0.94151755203261134</v>
      </c>
      <c r="W13" s="148"/>
      <c r="X13" s="148"/>
      <c r="Y13" s="148"/>
    </row>
    <row r="14" spans="1:25" x14ac:dyDescent="0.25">
      <c r="A14" s="30" t="s">
        <v>2</v>
      </c>
      <c r="B14" s="41">
        <v>0.59931956547690102</v>
      </c>
      <c r="C14" s="41">
        <v>0.67102452362642062</v>
      </c>
      <c r="D14" s="41">
        <v>0.71228377490694106</v>
      </c>
      <c r="E14" s="41">
        <v>0.67932544186800714</v>
      </c>
      <c r="F14" s="41">
        <v>0.655186474702801</v>
      </c>
      <c r="G14" s="41">
        <v>0.67006726096611202</v>
      </c>
      <c r="H14" s="41">
        <v>0.67304158230805167</v>
      </c>
      <c r="I14" s="41">
        <v>0.66521177844716295</v>
      </c>
      <c r="J14" s="41">
        <v>0.6914191419141914</v>
      </c>
      <c r="K14" s="41">
        <v>0.71019684217847956</v>
      </c>
      <c r="L14" s="41">
        <v>0.71934351775392236</v>
      </c>
      <c r="M14" s="41">
        <v>0.74140824271714323</v>
      </c>
      <c r="N14" s="41">
        <v>0.72106999379429726</v>
      </c>
      <c r="O14" s="41">
        <v>0.72894599756902245</v>
      </c>
      <c r="P14" s="41">
        <v>0.73615604186489059</v>
      </c>
      <c r="Q14" s="41">
        <v>0.74938723432830812</v>
      </c>
      <c r="R14" s="41">
        <v>0.73437693738375698</v>
      </c>
      <c r="S14" s="41">
        <v>0.73473841224241754</v>
      </c>
      <c r="T14" s="89">
        <f t="shared" si="3"/>
        <v>4.3319270328226134</v>
      </c>
      <c r="U14" s="89">
        <f t="shared" si="4"/>
        <v>0.57924146733950854</v>
      </c>
      <c r="V14" s="89">
        <f t="shared" si="5"/>
        <v>3.6147485866055984E-2</v>
      </c>
      <c r="W14" s="148"/>
      <c r="X14" s="148"/>
      <c r="Y14" s="148"/>
    </row>
    <row r="15" spans="1:25" x14ac:dyDescent="0.25">
      <c r="A15" s="30" t="s">
        <v>3</v>
      </c>
      <c r="B15" s="41">
        <v>0.58948803687952467</v>
      </c>
      <c r="C15" s="41">
        <v>0.6549627791563275</v>
      </c>
      <c r="D15" s="41">
        <v>0.66512413882750554</v>
      </c>
      <c r="E15" s="41">
        <v>0.67441298570079289</v>
      </c>
      <c r="F15" s="41">
        <v>0.67801887900983115</v>
      </c>
      <c r="G15" s="41">
        <v>0.67388261809986005</v>
      </c>
      <c r="H15" s="41">
        <v>0.6929884055162614</v>
      </c>
      <c r="I15" s="41">
        <v>0.70184976676853783</v>
      </c>
      <c r="J15" s="41">
        <v>0.70904526000067403</v>
      </c>
      <c r="K15" s="41">
        <v>0.72036621698523751</v>
      </c>
      <c r="L15" s="41">
        <v>0.72802850356294535</v>
      </c>
      <c r="M15" s="41">
        <v>0.74509130740431928</v>
      </c>
      <c r="N15" s="41">
        <v>0.71993252183117229</v>
      </c>
      <c r="O15" s="41">
        <v>0.72991738605773693</v>
      </c>
      <c r="P15" s="41">
        <v>0.731478666261275</v>
      </c>
      <c r="Q15" s="41">
        <v>0.73212704647531346</v>
      </c>
      <c r="R15" s="41">
        <v>0.73017894769946845</v>
      </c>
      <c r="S15" s="41">
        <v>0.73599746167462676</v>
      </c>
      <c r="T15" s="89">
        <f t="shared" si="3"/>
        <v>2.6952201673952736</v>
      </c>
      <c r="U15" s="89">
        <f t="shared" si="4"/>
        <v>0.60800756168898351</v>
      </c>
      <c r="V15" s="89">
        <f t="shared" si="5"/>
        <v>0.58185139751583126</v>
      </c>
      <c r="W15" s="148"/>
      <c r="X15" s="148"/>
      <c r="Y15" s="148"/>
    </row>
    <row r="16" spans="1:25" x14ac:dyDescent="0.25">
      <c r="A16" s="30" t="s">
        <v>4</v>
      </c>
      <c r="B16" s="41">
        <v>0.7653261402648357</v>
      </c>
      <c r="C16" s="41">
        <v>0.76940203060112744</v>
      </c>
      <c r="D16" s="41">
        <v>0.78103169163008446</v>
      </c>
      <c r="E16" s="41">
        <v>0.80137585493876251</v>
      </c>
      <c r="F16" s="41">
        <v>0.76608417296389586</v>
      </c>
      <c r="G16" s="41">
        <v>0.75716450105284783</v>
      </c>
      <c r="H16" s="41">
        <v>0.76881989425430353</v>
      </c>
      <c r="I16" s="41">
        <v>0.78335007814244251</v>
      </c>
      <c r="J16" s="41">
        <v>0.7894780321909981</v>
      </c>
      <c r="K16" s="41">
        <v>0.79934870392080237</v>
      </c>
      <c r="L16" s="41">
        <v>0.80854340814848946</v>
      </c>
      <c r="M16" s="41">
        <v>0.80781973075305002</v>
      </c>
      <c r="N16" s="41">
        <v>0.81298113611717293</v>
      </c>
      <c r="O16" s="41">
        <v>0.8699496189848015</v>
      </c>
      <c r="P16" s="41">
        <v>0.8463190533083006</v>
      </c>
      <c r="Q16" s="41">
        <v>0.83269445318534197</v>
      </c>
      <c r="R16" s="41">
        <v>0.83969437057567697</v>
      </c>
      <c r="S16" s="41">
        <v>0.85336633782338589</v>
      </c>
      <c r="T16" s="89">
        <f t="shared" si="3"/>
        <v>6.3888305632387787</v>
      </c>
      <c r="U16" s="89">
        <f t="shared" si="4"/>
        <v>-1.6583281161415608</v>
      </c>
      <c r="V16" s="89">
        <f t="shared" si="5"/>
        <v>1.3671967247708916</v>
      </c>
      <c r="W16" s="148"/>
      <c r="X16" s="148"/>
      <c r="Y16" s="148"/>
    </row>
    <row r="17" spans="1:25" x14ac:dyDescent="0.25">
      <c r="A17" s="81" t="s">
        <v>78</v>
      </c>
      <c r="B17" s="40">
        <v>0.64428964220771801</v>
      </c>
      <c r="C17" s="40">
        <v>0.66332661938694337</v>
      </c>
      <c r="D17" s="40">
        <v>0.68349030212607231</v>
      </c>
      <c r="E17" s="40">
        <v>0.68275976701826313</v>
      </c>
      <c r="F17" s="40">
        <v>0.65207301673355245</v>
      </c>
      <c r="G17" s="40">
        <v>0.66487253058936047</v>
      </c>
      <c r="H17" s="40">
        <v>0.66545982971799755</v>
      </c>
      <c r="I17" s="40">
        <v>0.6742567994939912</v>
      </c>
      <c r="J17" s="40">
        <v>0.68074133457899089</v>
      </c>
      <c r="K17" s="40">
        <v>0.69027902618141479</v>
      </c>
      <c r="L17" s="40">
        <v>0.71390284314825692</v>
      </c>
      <c r="M17" s="61">
        <v>0.72174052450869064</v>
      </c>
      <c r="N17" s="61">
        <v>0.70658595385063716</v>
      </c>
      <c r="O17" s="61">
        <v>0.71185353156056552</v>
      </c>
      <c r="P17" s="61">
        <v>0.72377112275942967</v>
      </c>
      <c r="Q17" s="61">
        <v>0.7380029251062421</v>
      </c>
      <c r="R17" s="61">
        <v>0.74727599106223797</v>
      </c>
      <c r="S17" s="61">
        <v>0.75399570980421327</v>
      </c>
      <c r="T17" s="90">
        <f t="shared" si="3"/>
        <v>7.3254375225222379</v>
      </c>
      <c r="U17" s="90">
        <f t="shared" si="4"/>
        <v>4.2142178243647743</v>
      </c>
      <c r="V17" s="90">
        <f t="shared" si="5"/>
        <v>0.67197187419753002</v>
      </c>
      <c r="W17" s="148"/>
      <c r="X17" s="148"/>
      <c r="Y17" s="148"/>
    </row>
    <row r="18" spans="1:25" x14ac:dyDescent="0.25">
      <c r="A18" s="30" t="s">
        <v>2</v>
      </c>
      <c r="B18" s="41">
        <v>0.55094242189517173</v>
      </c>
      <c r="C18" s="41">
        <v>0.5803350141013589</v>
      </c>
      <c r="D18" s="41">
        <v>0.62587343571118392</v>
      </c>
      <c r="E18" s="41">
        <v>0.59803655139615464</v>
      </c>
      <c r="F18" s="41">
        <v>0.57525672371638137</v>
      </c>
      <c r="G18" s="41">
        <v>0.59593801919099443</v>
      </c>
      <c r="H18" s="41">
        <v>0.60485470516009188</v>
      </c>
      <c r="I18" s="41">
        <v>0.59847314087902581</v>
      </c>
      <c r="J18" s="41">
        <v>0.62104194428580495</v>
      </c>
      <c r="K18" s="41">
        <v>0.62460128944689519</v>
      </c>
      <c r="L18" s="41">
        <v>0.65472878998609174</v>
      </c>
      <c r="M18" s="41">
        <v>0.66472125747430988</v>
      </c>
      <c r="N18" s="41">
        <v>0.63110503818933505</v>
      </c>
      <c r="O18" s="41">
        <v>0.58509136538310724</v>
      </c>
      <c r="P18" s="41">
        <v>0.62694235588972436</v>
      </c>
      <c r="Q18" s="41">
        <v>0.67821003829873006</v>
      </c>
      <c r="R18" s="41">
        <v>0.67962220306585208</v>
      </c>
      <c r="S18" s="41">
        <v>0.6779907379238076</v>
      </c>
      <c r="T18" s="89">
        <f t="shared" si="3"/>
        <v>5.6948793638002648</v>
      </c>
      <c r="U18" s="89">
        <f t="shared" si="4"/>
        <v>9.2899372540700362</v>
      </c>
      <c r="V18" s="89">
        <f t="shared" si="5"/>
        <v>-0.16314651420444859</v>
      </c>
      <c r="W18" s="148"/>
      <c r="X18" s="148"/>
      <c r="Y18" s="148"/>
    </row>
    <row r="19" spans="1:25" x14ac:dyDescent="0.25">
      <c r="A19" s="30" t="s">
        <v>3</v>
      </c>
      <c r="B19" s="41">
        <v>0.55940732457366504</v>
      </c>
      <c r="C19" s="41">
        <v>0.60577200577200574</v>
      </c>
      <c r="D19" s="41">
        <v>0.61884061612684371</v>
      </c>
      <c r="E19" s="41">
        <v>0.61516283336609656</v>
      </c>
      <c r="F19" s="41">
        <v>0.60347764788815128</v>
      </c>
      <c r="G19" s="41">
        <v>0.61568355048248413</v>
      </c>
      <c r="H19" s="41">
        <v>0.62882574902441379</v>
      </c>
      <c r="I19" s="41">
        <v>0.64652824783163065</v>
      </c>
      <c r="J19" s="41">
        <v>0.64292797112993161</v>
      </c>
      <c r="K19" s="41">
        <v>0.64972908682436892</v>
      </c>
      <c r="L19" s="41">
        <v>0.68783041088720231</v>
      </c>
      <c r="M19" s="41">
        <v>0.6974321662437224</v>
      </c>
      <c r="N19" s="41">
        <v>0.66529643452984988</v>
      </c>
      <c r="O19" s="41">
        <v>0.64523886164391342</v>
      </c>
      <c r="P19" s="41">
        <v>0.67820756042720631</v>
      </c>
      <c r="Q19" s="41">
        <v>0.70866116650208644</v>
      </c>
      <c r="R19" s="41">
        <v>0.71388954448902531</v>
      </c>
      <c r="S19" s="41">
        <v>0.71984618412486945</v>
      </c>
      <c r="T19" s="89">
        <f t="shared" si="3"/>
        <v>7.6918212994937836</v>
      </c>
      <c r="U19" s="89">
        <f t="shared" si="4"/>
        <v>7.4607322480956029</v>
      </c>
      <c r="V19" s="89">
        <f t="shared" si="5"/>
        <v>0.59566396358441409</v>
      </c>
      <c r="W19" s="148"/>
      <c r="X19" s="148"/>
      <c r="Y19" s="148"/>
    </row>
    <row r="20" spans="1:25" x14ac:dyDescent="0.25">
      <c r="A20" s="30" t="s">
        <v>4</v>
      </c>
      <c r="B20" s="41">
        <v>0.72680658239923679</v>
      </c>
      <c r="C20" s="41">
        <v>0.7288138412909666</v>
      </c>
      <c r="D20" s="41">
        <v>0.74693203272498432</v>
      </c>
      <c r="E20" s="41">
        <v>0.76356118436271103</v>
      </c>
      <c r="F20" s="41">
        <v>0.72167632968392581</v>
      </c>
      <c r="G20" s="41">
        <v>0.73246085466112776</v>
      </c>
      <c r="H20" s="41">
        <v>0.72786617100371742</v>
      </c>
      <c r="I20" s="41">
        <v>0.73870084581147433</v>
      </c>
      <c r="J20" s="41">
        <v>0.74509803921568629</v>
      </c>
      <c r="K20" s="41">
        <v>0.75594143072942377</v>
      </c>
      <c r="L20" s="41">
        <v>0.76276524185164807</v>
      </c>
      <c r="M20" s="41">
        <v>0.76702026841123783</v>
      </c>
      <c r="N20" s="41">
        <v>0.77742010730114297</v>
      </c>
      <c r="O20" s="41">
        <v>0.82659686575789515</v>
      </c>
      <c r="P20" s="41">
        <v>0.81221527990348774</v>
      </c>
      <c r="Q20" s="41">
        <v>0.79597636024476559</v>
      </c>
      <c r="R20" s="41">
        <v>0.8100106397742517</v>
      </c>
      <c r="S20" s="41">
        <v>0.82259145319971982</v>
      </c>
      <c r="T20" s="89">
        <f t="shared" si="3"/>
        <v>7.7493413984033532</v>
      </c>
      <c r="U20" s="89">
        <f t="shared" si="4"/>
        <v>-0.40054125581753253</v>
      </c>
      <c r="V20" s="89">
        <f t="shared" si="5"/>
        <v>1.2580813425468129</v>
      </c>
      <c r="W20" s="148"/>
      <c r="X20" s="148"/>
      <c r="Y20" s="148"/>
    </row>
    <row r="21" spans="1:25" x14ac:dyDescent="0.25">
      <c r="A21" s="81" t="s">
        <v>96</v>
      </c>
      <c r="B21" s="40">
        <v>0.66658579105335991</v>
      </c>
      <c r="C21" s="40">
        <v>0.6912781111500006</v>
      </c>
      <c r="D21" s="40">
        <v>0.70922233792689326</v>
      </c>
      <c r="E21" s="40">
        <v>0.7113320616485761</v>
      </c>
      <c r="F21" s="40">
        <v>0.6846562721474132</v>
      </c>
      <c r="G21" s="40">
        <v>0.68973220651564271</v>
      </c>
      <c r="H21" s="40">
        <v>0.69461321726761271</v>
      </c>
      <c r="I21" s="40">
        <v>0.7024570399536062</v>
      </c>
      <c r="J21" s="40">
        <v>0.71157616916382926</v>
      </c>
      <c r="K21" s="40">
        <v>0.72363000835048441</v>
      </c>
      <c r="L21" s="40">
        <v>0.73983376445526472</v>
      </c>
      <c r="M21" s="40">
        <v>0.74877261002307971</v>
      </c>
      <c r="N21" s="40">
        <v>0.73562169704699432</v>
      </c>
      <c r="O21" s="40">
        <v>0.75559151532642077</v>
      </c>
      <c r="P21" s="40">
        <v>0.75558506614668253</v>
      </c>
      <c r="Q21" s="40">
        <v>0.75949903510144479</v>
      </c>
      <c r="R21" s="40">
        <v>0.76487132988940454</v>
      </c>
      <c r="S21" s="40">
        <v>0.77306330481553465</v>
      </c>
      <c r="T21" s="90">
        <f t="shared" si="3"/>
        <v>6.1487135651705387</v>
      </c>
      <c r="U21" s="90">
        <f t="shared" si="4"/>
        <v>1.7471789489113876</v>
      </c>
      <c r="V21" s="90">
        <f t="shared" si="5"/>
        <v>0.81919749261301078</v>
      </c>
      <c r="W21" s="148"/>
      <c r="X21" s="148"/>
      <c r="Y21" s="148"/>
    </row>
    <row r="22" spans="1:25" x14ac:dyDescent="0.25">
      <c r="A22" s="117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98"/>
      <c r="N22" s="98"/>
      <c r="O22" s="98"/>
      <c r="P22" s="98"/>
      <c r="Q22" s="98"/>
      <c r="R22" s="114"/>
      <c r="S22" s="114"/>
      <c r="T22" s="114"/>
      <c r="U22" s="114"/>
      <c r="W22" s="148"/>
      <c r="X22" s="148"/>
      <c r="Y22" s="148"/>
    </row>
    <row r="23" spans="1:25" ht="18" x14ac:dyDescent="0.25">
      <c r="A23" s="11" t="s">
        <v>453</v>
      </c>
      <c r="B23" s="11"/>
      <c r="C23" s="11"/>
      <c r="D23" s="11"/>
      <c r="E23" s="11"/>
      <c r="F23" s="11"/>
      <c r="G23" s="11"/>
      <c r="W23" s="148"/>
      <c r="X23" s="148"/>
      <c r="Y23" s="148"/>
    </row>
    <row r="24" spans="1:25" ht="45" customHeight="1" x14ac:dyDescent="0.25">
      <c r="A24" s="14" t="s">
        <v>333</v>
      </c>
      <c r="B24" s="38">
        <v>2007</v>
      </c>
      <c r="C24" s="38">
        <v>2008</v>
      </c>
      <c r="D24" s="38">
        <v>2009</v>
      </c>
      <c r="E24" s="38">
        <v>2010</v>
      </c>
      <c r="F24" s="38">
        <v>2011</v>
      </c>
      <c r="G24" s="38">
        <v>2012</v>
      </c>
      <c r="H24" s="38">
        <v>2013</v>
      </c>
      <c r="I24" s="38">
        <v>2014</v>
      </c>
      <c r="J24" s="38">
        <v>2015</v>
      </c>
      <c r="K24" s="38">
        <v>2016</v>
      </c>
      <c r="L24" s="38">
        <v>2017</v>
      </c>
      <c r="M24" s="38">
        <v>2018</v>
      </c>
      <c r="N24" s="38">
        <v>2019</v>
      </c>
      <c r="O24" s="38">
        <v>2020</v>
      </c>
      <c r="P24" s="38">
        <v>2021</v>
      </c>
      <c r="Q24" s="38">
        <v>2022</v>
      </c>
      <c r="R24" s="38">
        <v>2023</v>
      </c>
      <c r="S24" s="38">
        <v>2024</v>
      </c>
      <c r="T24" s="39" t="s">
        <v>373</v>
      </c>
      <c r="U24" s="39" t="s">
        <v>374</v>
      </c>
      <c r="V24" s="39" t="s">
        <v>375</v>
      </c>
      <c r="W24" s="148"/>
      <c r="X24" s="148"/>
      <c r="Y24" s="148"/>
    </row>
    <row r="25" spans="1:25" x14ac:dyDescent="0.25">
      <c r="A25" s="81" t="s">
        <v>77</v>
      </c>
      <c r="B25" s="40">
        <v>0.68992982423868954</v>
      </c>
      <c r="C25" s="40">
        <v>0.71903813342074518</v>
      </c>
      <c r="D25" s="40">
        <v>0.73385453084785102</v>
      </c>
      <c r="E25" s="40">
        <v>0.73850835935338521</v>
      </c>
      <c r="F25" s="40">
        <v>0.71561944372891362</v>
      </c>
      <c r="G25" s="40">
        <v>0.71271665020064157</v>
      </c>
      <c r="H25" s="40">
        <v>0.72255955995285204</v>
      </c>
      <c r="I25" s="40">
        <v>0.72979178688209267</v>
      </c>
      <c r="J25" s="40">
        <v>0.74156592849994785</v>
      </c>
      <c r="K25" s="40">
        <v>0.75528529073637074</v>
      </c>
      <c r="L25" s="40">
        <v>0.76379071653788211</v>
      </c>
      <c r="M25" s="40">
        <v>0.77300077233022202</v>
      </c>
      <c r="N25" s="40">
        <v>0.7620676342490379</v>
      </c>
      <c r="O25" s="40">
        <v>0.79456460300031839</v>
      </c>
      <c r="P25" s="40">
        <v>0.78253229011425729</v>
      </c>
      <c r="Q25" s="18">
        <v>0.7787548820882978</v>
      </c>
      <c r="R25" s="18">
        <v>0.78080260981750604</v>
      </c>
      <c r="S25" s="18">
        <v>0.79021778533783216</v>
      </c>
      <c r="T25" s="90">
        <f t="shared" ref="T25:T39" si="6">(S25-J25)*100</f>
        <v>4.8651856837884306</v>
      </c>
      <c r="U25" s="90">
        <f t="shared" ref="U25:U39" si="7">(S25-O25)*100</f>
        <v>-0.43468176624862354</v>
      </c>
      <c r="V25" s="90">
        <f t="shared" ref="V25:V39" si="8">(S25-R25)*100</f>
        <v>0.94151755203261134</v>
      </c>
      <c r="W25" s="148"/>
      <c r="X25" s="148"/>
      <c r="Y25" s="148"/>
    </row>
    <row r="26" spans="1:25" x14ac:dyDescent="0.25">
      <c r="A26" s="30" t="s">
        <v>2</v>
      </c>
      <c r="B26" s="41">
        <v>0.59931956547690102</v>
      </c>
      <c r="C26" s="41">
        <v>0.67102452362642062</v>
      </c>
      <c r="D26" s="41">
        <v>0.71228377490694106</v>
      </c>
      <c r="E26" s="41">
        <v>0.67932544186800714</v>
      </c>
      <c r="F26" s="41">
        <v>0.655186474702801</v>
      </c>
      <c r="G26" s="41">
        <v>0.67006726096611202</v>
      </c>
      <c r="H26" s="41">
        <v>0.67304158230805167</v>
      </c>
      <c r="I26" s="41">
        <v>0.66521177844716295</v>
      </c>
      <c r="J26" s="41">
        <v>0.6914191419141914</v>
      </c>
      <c r="K26" s="41">
        <v>0.71019684217847956</v>
      </c>
      <c r="L26" s="41">
        <v>0.71934351775392236</v>
      </c>
      <c r="M26" s="41">
        <v>0.74165208024774476</v>
      </c>
      <c r="N26" s="41">
        <v>0.72106186488365165</v>
      </c>
      <c r="O26" s="41">
        <v>0.72965527241091821</v>
      </c>
      <c r="P26" s="41">
        <v>0.73919805260666716</v>
      </c>
      <c r="Q26" s="41">
        <v>0.75040175310445578</v>
      </c>
      <c r="R26" s="41">
        <v>0.73345530028498052</v>
      </c>
      <c r="S26" s="41">
        <v>0.73766142437028515</v>
      </c>
      <c r="T26" s="89">
        <f t="shared" si="6"/>
        <v>4.6242282456093742</v>
      </c>
      <c r="U26" s="89">
        <f t="shared" si="7"/>
        <v>0.80061519593669361</v>
      </c>
      <c r="V26" s="89">
        <f t="shared" si="8"/>
        <v>0.420612408530463</v>
      </c>
      <c r="W26" s="148"/>
      <c r="X26" s="148"/>
      <c r="Y26" s="148"/>
    </row>
    <row r="27" spans="1:25" x14ac:dyDescent="0.25">
      <c r="A27" s="30" t="s">
        <v>216</v>
      </c>
      <c r="B27" s="89" t="s">
        <v>62</v>
      </c>
      <c r="C27" s="89" t="s">
        <v>62</v>
      </c>
      <c r="D27" s="89" t="s">
        <v>62</v>
      </c>
      <c r="E27" s="89" t="s">
        <v>62</v>
      </c>
      <c r="F27" s="89" t="s">
        <v>62</v>
      </c>
      <c r="G27" s="89" t="s">
        <v>62</v>
      </c>
      <c r="H27" s="89" t="s">
        <v>62</v>
      </c>
      <c r="I27" s="89" t="s">
        <v>62</v>
      </c>
      <c r="J27" s="89" t="s">
        <v>62</v>
      </c>
      <c r="K27" s="89" t="s">
        <v>62</v>
      </c>
      <c r="L27" s="89" t="s">
        <v>62</v>
      </c>
      <c r="M27" s="41">
        <v>0.65909090909090906</v>
      </c>
      <c r="N27" s="41">
        <v>0.72167487684729059</v>
      </c>
      <c r="O27" s="41">
        <v>0.71274834437086088</v>
      </c>
      <c r="P27" s="41">
        <v>0.69006147540983609</v>
      </c>
      <c r="Q27" s="41">
        <v>0.73782771535580527</v>
      </c>
      <c r="R27" s="41">
        <v>0.74120406567630959</v>
      </c>
      <c r="S27" s="41">
        <v>0.71614477429849532</v>
      </c>
      <c r="T27" s="89" t="s">
        <v>62</v>
      </c>
      <c r="U27" s="89">
        <f t="shared" si="7"/>
        <v>0.33964299276344478</v>
      </c>
      <c r="V27" s="89">
        <f t="shared" si="8"/>
        <v>-2.5059291377814263</v>
      </c>
      <c r="W27" s="148"/>
      <c r="X27" s="148"/>
      <c r="Y27" s="148"/>
    </row>
    <row r="28" spans="1:25" x14ac:dyDescent="0.25">
      <c r="A28" s="30" t="s">
        <v>3</v>
      </c>
      <c r="B28" s="41">
        <v>0.58948803687952467</v>
      </c>
      <c r="C28" s="41">
        <v>0.6549627791563275</v>
      </c>
      <c r="D28" s="41">
        <v>0.66512413882750554</v>
      </c>
      <c r="E28" s="41">
        <v>0.67441298570079289</v>
      </c>
      <c r="F28" s="41">
        <v>0.67801887900983115</v>
      </c>
      <c r="G28" s="41">
        <v>0.67388261809986005</v>
      </c>
      <c r="H28" s="41">
        <v>0.6929884055162614</v>
      </c>
      <c r="I28" s="41">
        <v>0.70184976676853783</v>
      </c>
      <c r="J28" s="41">
        <v>0.70904526000067403</v>
      </c>
      <c r="K28" s="41">
        <v>0.72036621698523751</v>
      </c>
      <c r="L28" s="41">
        <v>0.72802850356294535</v>
      </c>
      <c r="M28" s="41">
        <v>0.74509130740431928</v>
      </c>
      <c r="N28" s="41">
        <v>0.71993252183117229</v>
      </c>
      <c r="O28" s="41">
        <v>0.72991738605773693</v>
      </c>
      <c r="P28" s="41">
        <v>0.731478666261275</v>
      </c>
      <c r="Q28" s="41">
        <v>0.73212704647531346</v>
      </c>
      <c r="R28" s="41">
        <v>0.73017894769946845</v>
      </c>
      <c r="S28" s="41">
        <v>0.73599746167462676</v>
      </c>
      <c r="T28" s="89">
        <f t="shared" si="6"/>
        <v>2.6952201673952736</v>
      </c>
      <c r="U28" s="89">
        <f t="shared" si="7"/>
        <v>0.60800756168898351</v>
      </c>
      <c r="V28" s="89">
        <f t="shared" si="8"/>
        <v>0.58185139751583126</v>
      </c>
      <c r="W28" s="148"/>
      <c r="X28" s="148"/>
      <c r="Y28" s="148"/>
    </row>
    <row r="29" spans="1:25" x14ac:dyDescent="0.25">
      <c r="A29" s="30" t="s">
        <v>84</v>
      </c>
      <c r="B29" s="41">
        <v>0.79058247452029839</v>
      </c>
      <c r="C29" s="41">
        <v>0.81157556270096465</v>
      </c>
      <c r="D29" s="41">
        <v>0.81541195886758921</v>
      </c>
      <c r="E29" s="41">
        <v>0.81612420501309391</v>
      </c>
      <c r="F29" s="41">
        <v>0.7771277599547084</v>
      </c>
      <c r="G29" s="41">
        <v>0.81275920956330816</v>
      </c>
      <c r="H29" s="41">
        <v>0.79270472572896888</v>
      </c>
      <c r="I29" s="41">
        <v>0.80172603342128412</v>
      </c>
      <c r="J29" s="41">
        <v>0.79370266625168584</v>
      </c>
      <c r="K29" s="41">
        <v>0.81467581847809989</v>
      </c>
      <c r="L29" s="41">
        <v>0.83143286913484404</v>
      </c>
      <c r="M29" s="41">
        <v>0.8122465715977949</v>
      </c>
      <c r="N29" s="41">
        <v>0.81539114443344174</v>
      </c>
      <c r="O29" s="41">
        <v>0.88373567422579857</v>
      </c>
      <c r="P29" s="41">
        <v>0.85243037714520609</v>
      </c>
      <c r="Q29" s="41">
        <v>0.83037717704882996</v>
      </c>
      <c r="R29" s="41">
        <v>0.83492912794517982</v>
      </c>
      <c r="S29" s="41">
        <v>0.84379117633695311</v>
      </c>
      <c r="T29" s="89">
        <f t="shared" si="6"/>
        <v>5.0088510085267268</v>
      </c>
      <c r="U29" s="89">
        <f t="shared" si="7"/>
        <v>-3.9944497888845465</v>
      </c>
      <c r="V29" s="89">
        <f t="shared" si="8"/>
        <v>0.88620483917732917</v>
      </c>
      <c r="W29" s="148"/>
      <c r="X29" s="148"/>
      <c r="Y29" s="148"/>
    </row>
    <row r="30" spans="1:25" x14ac:dyDescent="0.25">
      <c r="A30" s="30" t="s">
        <v>85</v>
      </c>
      <c r="B30" s="41">
        <v>0.86514188099079437</v>
      </c>
      <c r="C30" s="41">
        <v>0.84864272004387165</v>
      </c>
      <c r="D30" s="41">
        <v>0.84223691263176703</v>
      </c>
      <c r="E30" s="41">
        <v>0.85424897032865432</v>
      </c>
      <c r="F30" s="41">
        <v>0.80679495912806543</v>
      </c>
      <c r="G30" s="41">
        <v>0.83532161857165887</v>
      </c>
      <c r="H30" s="41">
        <v>0.82573910393172811</v>
      </c>
      <c r="I30" s="41">
        <v>0.84203039604701657</v>
      </c>
      <c r="J30" s="41">
        <v>0.84062704114957543</v>
      </c>
      <c r="K30" s="41">
        <v>0.84112021857923502</v>
      </c>
      <c r="L30" s="41">
        <v>0.85600216538097174</v>
      </c>
      <c r="M30" s="41">
        <v>0.8351586102719033</v>
      </c>
      <c r="N30" s="41">
        <v>0.85065660056355996</v>
      </c>
      <c r="O30" s="41">
        <v>0.8912056151940545</v>
      </c>
      <c r="P30" s="41">
        <v>0.86988231393999671</v>
      </c>
      <c r="Q30" s="41">
        <v>0.85423542354235427</v>
      </c>
      <c r="R30" s="41">
        <v>0.86501742502331513</v>
      </c>
      <c r="S30" s="41">
        <v>0.86703664633307342</v>
      </c>
      <c r="T30" s="89">
        <f t="shared" si="6"/>
        <v>2.6409605183497997</v>
      </c>
      <c r="U30" s="89">
        <f t="shared" si="7"/>
        <v>-2.4168968860981077</v>
      </c>
      <c r="V30" s="89">
        <f t="shared" si="8"/>
        <v>0.20192213097582901</v>
      </c>
      <c r="W30" s="148"/>
      <c r="X30" s="148"/>
      <c r="Y30" s="148"/>
    </row>
    <row r="31" spans="1:25" x14ac:dyDescent="0.25">
      <c r="A31" s="30" t="s">
        <v>254</v>
      </c>
      <c r="B31" s="41">
        <v>0.72010885999395224</v>
      </c>
      <c r="C31" s="41">
        <v>0.72806731813246472</v>
      </c>
      <c r="D31" s="41">
        <v>0.75155577981210508</v>
      </c>
      <c r="E31" s="41">
        <v>0.78315687553937152</v>
      </c>
      <c r="F31" s="41">
        <v>0.75262952061420663</v>
      </c>
      <c r="G31" s="41">
        <v>0.7188378631677601</v>
      </c>
      <c r="H31" s="41">
        <v>0.74145602795573673</v>
      </c>
      <c r="I31" s="41">
        <v>0.75547800074784988</v>
      </c>
      <c r="J31" s="41">
        <v>0.76960982512887899</v>
      </c>
      <c r="K31" s="41">
        <v>0.77733470235678981</v>
      </c>
      <c r="L31" s="41">
        <v>0.77963428458770767</v>
      </c>
      <c r="M31" s="41">
        <v>0.79391529547178696</v>
      </c>
      <c r="N31" s="41">
        <v>0.79107189203218276</v>
      </c>
      <c r="O31" s="41">
        <v>0.84781361550229473</v>
      </c>
      <c r="P31" s="41">
        <v>0.82966378599566371</v>
      </c>
      <c r="Q31" s="41">
        <v>0.82214683789677734</v>
      </c>
      <c r="R31" s="41">
        <v>0.82890832422302041</v>
      </c>
      <c r="S31" s="41">
        <v>0.85115075236621074</v>
      </c>
      <c r="T31" s="89">
        <f t="shared" si="6"/>
        <v>8.1540927237331751</v>
      </c>
      <c r="U31" s="89">
        <f t="shared" si="7"/>
        <v>0.33371368639160126</v>
      </c>
      <c r="V31" s="89">
        <f t="shared" si="8"/>
        <v>2.2242428143190329</v>
      </c>
      <c r="W31" s="148"/>
      <c r="X31" s="148"/>
      <c r="Y31" s="148"/>
    </row>
    <row r="32" spans="1:25" x14ac:dyDescent="0.25">
      <c r="A32" s="81" t="s">
        <v>78</v>
      </c>
      <c r="B32" s="40">
        <v>0.64428964220771801</v>
      </c>
      <c r="C32" s="40">
        <v>0.66332661938694337</v>
      </c>
      <c r="D32" s="40">
        <v>0.68349030212607231</v>
      </c>
      <c r="E32" s="40">
        <v>0.68275976701826313</v>
      </c>
      <c r="F32" s="40">
        <v>0.65207301673355245</v>
      </c>
      <c r="G32" s="40">
        <v>0.66487253058936047</v>
      </c>
      <c r="H32" s="40">
        <v>0.66545982971799755</v>
      </c>
      <c r="I32" s="40">
        <v>0.6742567994939912</v>
      </c>
      <c r="J32" s="40">
        <v>0.68074133457899089</v>
      </c>
      <c r="K32" s="40">
        <v>0.69027902618141479</v>
      </c>
      <c r="L32" s="40">
        <v>0.71390284314825692</v>
      </c>
      <c r="M32" s="40">
        <v>0.72174052450869064</v>
      </c>
      <c r="N32" s="40">
        <v>0.70658595385063716</v>
      </c>
      <c r="O32" s="40">
        <v>0.71185353156056552</v>
      </c>
      <c r="P32" s="40">
        <v>0.72377112275942967</v>
      </c>
      <c r="Q32" s="18">
        <v>0.7380029251062421</v>
      </c>
      <c r="R32" s="18">
        <v>0.74727599106223797</v>
      </c>
      <c r="S32" s="18">
        <v>0.75399570980421327</v>
      </c>
      <c r="T32" s="90">
        <f t="shared" si="6"/>
        <v>7.3254375225222379</v>
      </c>
      <c r="U32" s="90">
        <f t="shared" si="7"/>
        <v>4.2142178243647743</v>
      </c>
      <c r="V32" s="90">
        <f t="shared" si="8"/>
        <v>0.67197187419753002</v>
      </c>
      <c r="W32" s="148"/>
      <c r="X32" s="148"/>
      <c r="Y32" s="148"/>
    </row>
    <row r="33" spans="1:25" x14ac:dyDescent="0.25">
      <c r="A33" s="30" t="s">
        <v>2</v>
      </c>
      <c r="B33" s="41">
        <v>0.55094242189517173</v>
      </c>
      <c r="C33" s="41">
        <v>0.5803350141013589</v>
      </c>
      <c r="D33" s="41">
        <v>0.62587343571118392</v>
      </c>
      <c r="E33" s="41">
        <v>0.59803655139615464</v>
      </c>
      <c r="F33" s="41">
        <v>0.57525672371638137</v>
      </c>
      <c r="G33" s="41">
        <v>0.59593801919099443</v>
      </c>
      <c r="H33" s="41">
        <v>0.60485470516009188</v>
      </c>
      <c r="I33" s="41">
        <v>0.59847314087902581</v>
      </c>
      <c r="J33" s="41">
        <v>0.62104194428580495</v>
      </c>
      <c r="K33" s="41">
        <v>0.62460128944689519</v>
      </c>
      <c r="L33" s="41">
        <v>0.65472878998609174</v>
      </c>
      <c r="M33" s="41">
        <v>0.66462888377445339</v>
      </c>
      <c r="N33" s="41">
        <v>0.6318415051311288</v>
      </c>
      <c r="O33" s="41">
        <v>0.58583998363003886</v>
      </c>
      <c r="P33" s="41">
        <v>0.62977048600362628</v>
      </c>
      <c r="Q33" s="41">
        <v>0.6824180131527372</v>
      </c>
      <c r="R33" s="41">
        <v>0.68527876729351334</v>
      </c>
      <c r="S33" s="41">
        <v>0.68412567486502696</v>
      </c>
      <c r="T33" s="89">
        <f t="shared" si="6"/>
        <v>6.3083730579222008</v>
      </c>
      <c r="U33" s="89">
        <f t="shared" si="7"/>
        <v>9.8285691234988093</v>
      </c>
      <c r="V33" s="89">
        <f t="shared" si="8"/>
        <v>-0.11530924284863797</v>
      </c>
      <c r="W33" s="148"/>
      <c r="X33" s="148"/>
      <c r="Y33" s="148"/>
    </row>
    <row r="34" spans="1:25" x14ac:dyDescent="0.25">
      <c r="A34" s="30" t="s">
        <v>216</v>
      </c>
      <c r="B34" s="89" t="s">
        <v>62</v>
      </c>
      <c r="C34" s="89" t="s">
        <v>62</v>
      </c>
      <c r="D34" s="89" t="s">
        <v>62</v>
      </c>
      <c r="E34" s="89" t="s">
        <v>62</v>
      </c>
      <c r="F34" s="89" t="s">
        <v>62</v>
      </c>
      <c r="G34" s="89" t="s">
        <v>62</v>
      </c>
      <c r="H34" s="89" t="s">
        <v>62</v>
      </c>
      <c r="I34" s="89" t="s">
        <v>62</v>
      </c>
      <c r="J34" s="89" t="s">
        <v>62</v>
      </c>
      <c r="K34" s="89" t="s">
        <v>62</v>
      </c>
      <c r="L34" s="89" t="s">
        <v>62</v>
      </c>
      <c r="M34" s="41">
        <v>0.68595041322314054</v>
      </c>
      <c r="N34" s="41">
        <v>0.58786610878661083</v>
      </c>
      <c r="O34" s="41">
        <v>0.56794751640112462</v>
      </c>
      <c r="P34" s="41">
        <v>0.57874905802562171</v>
      </c>
      <c r="Q34" s="41">
        <v>0.62581344902386116</v>
      </c>
      <c r="R34" s="41">
        <v>0.62583694367861364</v>
      </c>
      <c r="S34" s="41">
        <v>0.62177945723119199</v>
      </c>
      <c r="T34" s="89" t="s">
        <v>62</v>
      </c>
      <c r="U34" s="89">
        <f t="shared" si="7"/>
        <v>5.3831940830067371</v>
      </c>
      <c r="V34" s="89">
        <f t="shared" si="8"/>
        <v>-0.40574864474216543</v>
      </c>
      <c r="W34" s="148"/>
      <c r="X34" s="148"/>
      <c r="Y34" s="148"/>
    </row>
    <row r="35" spans="1:25" x14ac:dyDescent="0.25">
      <c r="A35" s="30" t="s">
        <v>3</v>
      </c>
      <c r="B35" s="41">
        <v>0.55940732457366504</v>
      </c>
      <c r="C35" s="41">
        <v>0.60577200577200574</v>
      </c>
      <c r="D35" s="41">
        <v>0.61884061612684371</v>
      </c>
      <c r="E35" s="41">
        <v>0.61516283336609656</v>
      </c>
      <c r="F35" s="41">
        <v>0.60347764788815128</v>
      </c>
      <c r="G35" s="41">
        <v>0.61568355048248413</v>
      </c>
      <c r="H35" s="41">
        <v>0.62882574902441379</v>
      </c>
      <c r="I35" s="41">
        <v>0.64652824783163065</v>
      </c>
      <c r="J35" s="41">
        <v>0.64292797112993161</v>
      </c>
      <c r="K35" s="41">
        <v>0.64972908682436892</v>
      </c>
      <c r="L35" s="41">
        <v>0.68783041088720231</v>
      </c>
      <c r="M35" s="41">
        <v>0.6974321662437224</v>
      </c>
      <c r="N35" s="41">
        <v>0.66529643452984988</v>
      </c>
      <c r="O35" s="41">
        <v>0.64523886164391342</v>
      </c>
      <c r="P35" s="41">
        <v>0.67820756042720631</v>
      </c>
      <c r="Q35" s="41">
        <v>0.70866116650208644</v>
      </c>
      <c r="R35" s="41">
        <v>0.71388954448902531</v>
      </c>
      <c r="S35" s="41">
        <v>0.71984618412486945</v>
      </c>
      <c r="T35" s="89">
        <f t="shared" si="6"/>
        <v>7.6918212994937836</v>
      </c>
      <c r="U35" s="89">
        <f t="shared" si="7"/>
        <v>7.4607322480956029</v>
      </c>
      <c r="V35" s="89">
        <f t="shared" si="8"/>
        <v>0.59566396358441409</v>
      </c>
      <c r="W35" s="148"/>
      <c r="X35" s="148"/>
      <c r="Y35" s="148"/>
    </row>
    <row r="36" spans="1:25" x14ac:dyDescent="0.25">
      <c r="A36" s="30" t="s">
        <v>84</v>
      </c>
      <c r="B36" s="41">
        <v>0.76924007744433687</v>
      </c>
      <c r="C36" s="41">
        <v>0.77369219105382869</v>
      </c>
      <c r="D36" s="41">
        <v>0.7863017061495029</v>
      </c>
      <c r="E36" s="41">
        <v>0.78088564700476715</v>
      </c>
      <c r="F36" s="41">
        <v>0.73862653520152222</v>
      </c>
      <c r="G36" s="41">
        <v>0.77444244199143952</v>
      </c>
      <c r="H36" s="41">
        <v>0.74850718166657704</v>
      </c>
      <c r="I36" s="41">
        <v>0.75451263537906132</v>
      </c>
      <c r="J36" s="41">
        <v>0.75388049102160903</v>
      </c>
      <c r="K36" s="41">
        <v>0.77887553473212467</v>
      </c>
      <c r="L36" s="41">
        <v>0.78397442403328932</v>
      </c>
      <c r="M36" s="41">
        <v>0.77899702085402189</v>
      </c>
      <c r="N36" s="41">
        <v>0.7766157282834949</v>
      </c>
      <c r="O36" s="41">
        <v>0.84576843481102282</v>
      </c>
      <c r="P36" s="41">
        <v>0.81280495061287639</v>
      </c>
      <c r="Q36" s="41">
        <v>0.79247536578083011</v>
      </c>
      <c r="R36" s="41">
        <v>0.80318956143530262</v>
      </c>
      <c r="S36" s="41">
        <v>0.81237092110698061</v>
      </c>
      <c r="T36" s="89">
        <f t="shared" si="6"/>
        <v>5.8490430085371585</v>
      </c>
      <c r="U36" s="89">
        <f t="shared" si="7"/>
        <v>-3.3397513704042203</v>
      </c>
      <c r="V36" s="89">
        <f t="shared" si="8"/>
        <v>0.91813596716779911</v>
      </c>
      <c r="W36" s="148"/>
      <c r="X36" s="148"/>
      <c r="Y36" s="148"/>
    </row>
    <row r="37" spans="1:25" x14ac:dyDescent="0.25">
      <c r="A37" s="30" t="s">
        <v>85</v>
      </c>
      <c r="B37" s="41">
        <v>0.8186822351959967</v>
      </c>
      <c r="C37" s="41">
        <v>0.79547132660595621</v>
      </c>
      <c r="D37" s="41">
        <v>0.81198712791633143</v>
      </c>
      <c r="E37" s="41">
        <v>0.82541584437552862</v>
      </c>
      <c r="F37" s="41">
        <v>0.76664050795462657</v>
      </c>
      <c r="G37" s="41">
        <v>0.78929369067560018</v>
      </c>
      <c r="H37" s="41">
        <v>0.80047185709470847</v>
      </c>
      <c r="I37" s="41">
        <v>0.80470876428960258</v>
      </c>
      <c r="J37" s="41">
        <v>0.79746249917399059</v>
      </c>
      <c r="K37" s="41">
        <v>0.80347525006411902</v>
      </c>
      <c r="L37" s="41">
        <v>0.81470795665833173</v>
      </c>
      <c r="M37" s="41">
        <v>0.80794210428650959</v>
      </c>
      <c r="N37" s="41">
        <v>0.82275442713889479</v>
      </c>
      <c r="O37" s="41">
        <v>0.85423064704013552</v>
      </c>
      <c r="P37" s="41">
        <v>0.84670405127031356</v>
      </c>
      <c r="Q37" s="41">
        <v>0.81862080190982589</v>
      </c>
      <c r="R37" s="41">
        <v>0.82592649546363217</v>
      </c>
      <c r="S37" s="41">
        <v>0.83827704356338717</v>
      </c>
      <c r="T37" s="89">
        <f t="shared" si="6"/>
        <v>4.0814544389396579</v>
      </c>
      <c r="U37" s="89">
        <f t="shared" si="7"/>
        <v>-1.5953603476748346</v>
      </c>
      <c r="V37" s="89">
        <f t="shared" si="8"/>
        <v>1.2350548099754999</v>
      </c>
      <c r="W37" s="148"/>
      <c r="X37" s="148"/>
      <c r="Y37" s="148"/>
    </row>
    <row r="38" spans="1:25" x14ac:dyDescent="0.25">
      <c r="A38" s="30" t="s">
        <v>254</v>
      </c>
      <c r="B38" s="41">
        <v>0.66707527166710845</v>
      </c>
      <c r="C38" s="41">
        <v>0.68136353721995446</v>
      </c>
      <c r="D38" s="41">
        <v>0.70530485704443679</v>
      </c>
      <c r="E38" s="41">
        <v>0.73217280204423862</v>
      </c>
      <c r="F38" s="41">
        <v>0.69744947442921179</v>
      </c>
      <c r="G38" s="41">
        <v>0.69003318644252221</v>
      </c>
      <c r="H38" s="41">
        <v>0.68468042334299062</v>
      </c>
      <c r="I38" s="41">
        <v>0.69889164494960598</v>
      </c>
      <c r="J38" s="41">
        <v>0.71347633862780413</v>
      </c>
      <c r="K38" s="41">
        <v>0.71826488349299689</v>
      </c>
      <c r="L38" s="41">
        <v>0.72197681756285492</v>
      </c>
      <c r="M38" s="41">
        <v>0.73601236476043275</v>
      </c>
      <c r="N38" s="41">
        <v>0.74516627996906415</v>
      </c>
      <c r="O38" s="41">
        <v>0.78611136847957008</v>
      </c>
      <c r="P38" s="41">
        <v>0.78339214302517057</v>
      </c>
      <c r="Q38" s="41">
        <v>0.77980617534370067</v>
      </c>
      <c r="R38" s="41">
        <v>0.80314264858427142</v>
      </c>
      <c r="S38" s="41">
        <v>0.81785493349829874</v>
      </c>
      <c r="T38" s="89">
        <f t="shared" si="6"/>
        <v>10.437859487049462</v>
      </c>
      <c r="U38" s="89">
        <f t="shared" si="7"/>
        <v>3.1743565018728659</v>
      </c>
      <c r="V38" s="89">
        <f t="shared" si="8"/>
        <v>1.4712284914027318</v>
      </c>
      <c r="W38" s="148"/>
      <c r="X38" s="148"/>
      <c r="Y38" s="148"/>
    </row>
    <row r="39" spans="1:25" x14ac:dyDescent="0.25">
      <c r="A39" s="81" t="s">
        <v>96</v>
      </c>
      <c r="B39" s="40">
        <v>0.66658579105335991</v>
      </c>
      <c r="C39" s="40">
        <v>0.6912781111500006</v>
      </c>
      <c r="D39" s="40">
        <v>0.70922233792689326</v>
      </c>
      <c r="E39" s="40">
        <v>0.7113320616485761</v>
      </c>
      <c r="F39" s="40">
        <v>0.6846562721474132</v>
      </c>
      <c r="G39" s="40">
        <v>0.68973220651564271</v>
      </c>
      <c r="H39" s="40">
        <v>0.69461321726761271</v>
      </c>
      <c r="I39" s="40">
        <v>0.7024570399536062</v>
      </c>
      <c r="J39" s="40">
        <v>0.71157616916382926</v>
      </c>
      <c r="K39" s="40">
        <v>0.72363000835048441</v>
      </c>
      <c r="L39" s="40">
        <v>0.73983376445526472</v>
      </c>
      <c r="M39" s="40">
        <v>0.74877261002307971</v>
      </c>
      <c r="N39" s="40">
        <v>0.73562169704699432</v>
      </c>
      <c r="O39" s="40">
        <v>0.75559151532642077</v>
      </c>
      <c r="P39" s="40">
        <v>0.75558506614668253</v>
      </c>
      <c r="Q39" s="40">
        <v>0.75949903510144479</v>
      </c>
      <c r="R39" s="40">
        <v>0.76487132988940454</v>
      </c>
      <c r="S39" s="40">
        <v>0.77306330481553465</v>
      </c>
      <c r="T39" s="90">
        <f t="shared" si="6"/>
        <v>6.1487135651705387</v>
      </c>
      <c r="U39" s="90">
        <f t="shared" si="7"/>
        <v>1.7471789489113876</v>
      </c>
      <c r="V39" s="90">
        <f t="shared" si="8"/>
        <v>0.81919749261301078</v>
      </c>
      <c r="W39" s="148"/>
      <c r="X39" s="148"/>
      <c r="Y39" s="148"/>
    </row>
    <row r="40" spans="1:25" x14ac:dyDescent="0.25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T40" s="114"/>
      <c r="U40" s="114"/>
      <c r="V40" s="114"/>
      <c r="W40" s="148"/>
      <c r="X40" s="148"/>
      <c r="Y40" s="148"/>
    </row>
    <row r="41" spans="1:25" ht="18" x14ac:dyDescent="0.25">
      <c r="A41" s="11" t="s">
        <v>454</v>
      </c>
      <c r="B41" s="11"/>
      <c r="C41" s="11"/>
      <c r="D41" s="11"/>
      <c r="E41" s="11"/>
      <c r="F41" s="11"/>
      <c r="G41" s="11"/>
      <c r="W41" s="148"/>
      <c r="X41" s="148"/>
      <c r="Y41" s="148"/>
    </row>
    <row r="42" spans="1:25" ht="45" customHeight="1" x14ac:dyDescent="0.25">
      <c r="A42" s="14" t="s">
        <v>334</v>
      </c>
      <c r="B42" s="38">
        <v>2007</v>
      </c>
      <c r="C42" s="38">
        <v>2008</v>
      </c>
      <c r="D42" s="38">
        <v>2009</v>
      </c>
      <c r="E42" s="38">
        <v>2010</v>
      </c>
      <c r="F42" s="38">
        <v>2011</v>
      </c>
      <c r="G42" s="38">
        <v>2012</v>
      </c>
      <c r="H42" s="38">
        <v>2013</v>
      </c>
      <c r="I42" s="38">
        <v>2014</v>
      </c>
      <c r="J42" s="38">
        <v>2015</v>
      </c>
      <c r="K42" s="38">
        <v>2016</v>
      </c>
      <c r="L42" s="38">
        <v>2017</v>
      </c>
      <c r="M42" s="38">
        <v>2018</v>
      </c>
      <c r="N42" s="38">
        <v>2019</v>
      </c>
      <c r="O42" s="38">
        <v>2020</v>
      </c>
      <c r="P42" s="38">
        <v>2021</v>
      </c>
      <c r="Q42" s="38">
        <v>2022</v>
      </c>
      <c r="R42" s="38">
        <v>2023</v>
      </c>
      <c r="S42" s="38">
        <v>2024</v>
      </c>
      <c r="T42" s="39" t="s">
        <v>373</v>
      </c>
      <c r="U42" s="39" t="s">
        <v>374</v>
      </c>
      <c r="V42" s="39" t="s">
        <v>375</v>
      </c>
      <c r="W42" s="148"/>
      <c r="X42" s="148"/>
      <c r="Y42" s="148"/>
    </row>
    <row r="43" spans="1:25" x14ac:dyDescent="0.25">
      <c r="A43" s="81" t="s">
        <v>77</v>
      </c>
      <c r="B43" s="40">
        <v>0.68992982423868954</v>
      </c>
      <c r="C43" s="40">
        <v>0.71903813342074518</v>
      </c>
      <c r="D43" s="40">
        <v>0.73385453084785102</v>
      </c>
      <c r="E43" s="40">
        <v>0.73850835935338521</v>
      </c>
      <c r="F43" s="40">
        <v>0.71561944372891362</v>
      </c>
      <c r="G43" s="40">
        <v>0.71271665020064157</v>
      </c>
      <c r="H43" s="40">
        <v>0.72255955995285204</v>
      </c>
      <c r="I43" s="40">
        <v>0.72979178688209267</v>
      </c>
      <c r="J43" s="40">
        <v>0.74156592849994785</v>
      </c>
      <c r="K43" s="40">
        <v>0.75528529073637074</v>
      </c>
      <c r="L43" s="40">
        <v>0.76379071653788211</v>
      </c>
      <c r="M43" s="40">
        <v>0.77300077233022202</v>
      </c>
      <c r="N43" s="40">
        <v>0.7620676342490379</v>
      </c>
      <c r="O43" s="40">
        <v>0.79456460300031839</v>
      </c>
      <c r="P43" s="40">
        <v>0.78253229011425729</v>
      </c>
      <c r="Q43" s="18">
        <v>0.7787548820882978</v>
      </c>
      <c r="R43" s="18">
        <v>0.78080260981750604</v>
      </c>
      <c r="S43" s="18">
        <v>0.79021778533783216</v>
      </c>
      <c r="T43" s="90">
        <f t="shared" ref="T43:T55" si="9">(S43-J43)*100</f>
        <v>4.8651856837884306</v>
      </c>
      <c r="U43" s="90">
        <f t="shared" ref="U43:U55" si="10">(S43-O43)*100</f>
        <v>-0.43468176624862354</v>
      </c>
      <c r="V43" s="90">
        <f t="shared" ref="V43:V55" si="11">(S43-R43)*100</f>
        <v>0.94151755203261134</v>
      </c>
      <c r="W43" s="148"/>
      <c r="X43" s="148"/>
      <c r="Y43" s="148"/>
    </row>
    <row r="44" spans="1:25" x14ac:dyDescent="0.25">
      <c r="A44" s="30" t="s">
        <v>63</v>
      </c>
      <c r="B44" s="41">
        <v>0.58766907053762107</v>
      </c>
      <c r="C44" s="41">
        <v>0.66956062207458855</v>
      </c>
      <c r="D44" s="41">
        <v>0.69079970119723</v>
      </c>
      <c r="E44" s="41">
        <v>0.68511751097998452</v>
      </c>
      <c r="F44" s="41">
        <v>0.67118628557484061</v>
      </c>
      <c r="G44" s="41">
        <v>0.67183389035056529</v>
      </c>
      <c r="H44" s="41">
        <v>0.68451196881299814</v>
      </c>
      <c r="I44" s="41">
        <v>0.68703104071574406</v>
      </c>
      <c r="J44" s="41">
        <v>0.70062426141910294</v>
      </c>
      <c r="K44" s="41">
        <v>0.71822112089418466</v>
      </c>
      <c r="L44" s="41">
        <v>0.72268234036868817</v>
      </c>
      <c r="M44" s="41">
        <v>0.73877791603903331</v>
      </c>
      <c r="N44" s="41">
        <v>0.71401339723195467</v>
      </c>
      <c r="O44" s="41">
        <v>0.71887695224338721</v>
      </c>
      <c r="P44" s="41">
        <v>0.72802147605728817</v>
      </c>
      <c r="Q44" s="41">
        <v>0.72632114251811675</v>
      </c>
      <c r="R44" s="41">
        <v>0.72142169649458077</v>
      </c>
      <c r="S44" s="41">
        <v>0.72459137448699928</v>
      </c>
      <c r="T44" s="89">
        <f t="shared" si="9"/>
        <v>2.396711306789634</v>
      </c>
      <c r="U44" s="89">
        <f t="shared" si="10"/>
        <v>0.57144222436120717</v>
      </c>
      <c r="V44" s="89">
        <f t="shared" si="11"/>
        <v>0.31696779924185181</v>
      </c>
      <c r="W44" s="148"/>
      <c r="X44" s="148"/>
      <c r="Y44" s="148"/>
    </row>
    <row r="45" spans="1:25" x14ac:dyDescent="0.25">
      <c r="A45" s="30" t="s">
        <v>89</v>
      </c>
      <c r="B45" s="41">
        <v>0.5952298651918424</v>
      </c>
      <c r="C45" s="41">
        <v>0.629327804031247</v>
      </c>
      <c r="D45" s="41">
        <v>0.64865708931917554</v>
      </c>
      <c r="E45" s="41">
        <v>0.66855330764290299</v>
      </c>
      <c r="F45" s="41">
        <v>0.66442128620675989</v>
      </c>
      <c r="G45" s="41">
        <v>0.68418125026742549</v>
      </c>
      <c r="H45" s="41">
        <v>0.68633808906182447</v>
      </c>
      <c r="I45" s="41">
        <v>0.69900371166243402</v>
      </c>
      <c r="J45" s="41">
        <v>0.70956503378378377</v>
      </c>
      <c r="K45" s="41">
        <v>0.72397056521058401</v>
      </c>
      <c r="L45" s="41">
        <v>0.73680478168371999</v>
      </c>
      <c r="M45" s="41">
        <v>0.75927313600599478</v>
      </c>
      <c r="N45" s="41">
        <v>0.74725176910409896</v>
      </c>
      <c r="O45" s="41">
        <v>0.77121909953943035</v>
      </c>
      <c r="P45" s="41">
        <v>0.75073887524455729</v>
      </c>
      <c r="Q45" s="41">
        <v>0.76201319095477382</v>
      </c>
      <c r="R45" s="41">
        <v>0.75632256480409699</v>
      </c>
      <c r="S45" s="41">
        <v>0.75847896548267446</v>
      </c>
      <c r="T45" s="89">
        <f t="shared" si="9"/>
        <v>4.8913931698890689</v>
      </c>
      <c r="U45" s="89">
        <f t="shared" si="10"/>
        <v>-1.2740134056755892</v>
      </c>
      <c r="V45" s="89">
        <f t="shared" si="11"/>
        <v>0.21564006785774747</v>
      </c>
      <c r="W45" s="148"/>
      <c r="X45" s="148"/>
      <c r="Y45" s="148"/>
    </row>
    <row r="46" spans="1:25" x14ac:dyDescent="0.25">
      <c r="A46" s="30" t="s">
        <v>87</v>
      </c>
      <c r="B46" s="41">
        <v>0.6369949494949495</v>
      </c>
      <c r="C46" s="41">
        <v>0.58802395209580838</v>
      </c>
      <c r="D46" s="41">
        <v>0.59744680851063825</v>
      </c>
      <c r="E46" s="41">
        <v>0.64912280701754388</v>
      </c>
      <c r="F46" s="41">
        <v>0.50684931506849318</v>
      </c>
      <c r="G46" s="41">
        <v>0.58010630220197423</v>
      </c>
      <c r="H46" s="41">
        <v>0.58133669609079441</v>
      </c>
      <c r="I46" s="41">
        <v>0.63419007770472202</v>
      </c>
      <c r="J46" s="41">
        <v>0.63375430539609645</v>
      </c>
      <c r="K46" s="41">
        <v>0.61218512009373172</v>
      </c>
      <c r="L46" s="41">
        <v>0.6535654126895003</v>
      </c>
      <c r="M46" s="41">
        <v>0.65685850281263525</v>
      </c>
      <c r="N46" s="41">
        <v>0.67828020756115637</v>
      </c>
      <c r="O46" s="41">
        <v>0.71768316072113536</v>
      </c>
      <c r="P46" s="41">
        <v>0.67901701323251418</v>
      </c>
      <c r="Q46" s="41">
        <v>0.67189952904238615</v>
      </c>
      <c r="R46" s="41">
        <v>0.66958105646630239</v>
      </c>
      <c r="S46" s="41">
        <v>0.66995768688293367</v>
      </c>
      <c r="T46" s="89">
        <f t="shared" si="9"/>
        <v>3.6203381486837216</v>
      </c>
      <c r="U46" s="89">
        <f t="shared" si="10"/>
        <v>-4.7725473838201697</v>
      </c>
      <c r="V46" s="89">
        <f t="shared" si="11"/>
        <v>3.7663041663127395E-2</v>
      </c>
      <c r="W46" s="148"/>
      <c r="X46" s="148"/>
      <c r="Y46" s="148"/>
    </row>
    <row r="47" spans="1:25" x14ac:dyDescent="0.25">
      <c r="A47" s="30" t="s">
        <v>86</v>
      </c>
      <c r="B47" s="41">
        <v>0.78797468354430378</v>
      </c>
      <c r="C47" s="41">
        <v>0.76013805004314061</v>
      </c>
      <c r="D47" s="41">
        <v>0.75475113122171944</v>
      </c>
      <c r="E47" s="41">
        <v>0.734375</v>
      </c>
      <c r="F47" s="41">
        <v>0.73244781783681212</v>
      </c>
      <c r="G47" s="41">
        <v>0.67454545454545456</v>
      </c>
      <c r="H47" s="41">
        <v>0.717206132879046</v>
      </c>
      <c r="I47" s="41">
        <v>0.72735346358792186</v>
      </c>
      <c r="J47" s="41">
        <v>0.71852445870088211</v>
      </c>
      <c r="K47" s="41">
        <v>0.71296296296296291</v>
      </c>
      <c r="L47" s="41">
        <v>0.76684280052840159</v>
      </c>
      <c r="M47" s="41">
        <v>0.79046762589928055</v>
      </c>
      <c r="N47" s="41">
        <v>0.76710097719869708</v>
      </c>
      <c r="O47" s="41">
        <v>0.8347895154884829</v>
      </c>
      <c r="P47" s="41">
        <v>0.81684382665576449</v>
      </c>
      <c r="Q47" s="41">
        <v>0.80200308166409862</v>
      </c>
      <c r="R47" s="41">
        <v>0.81723237597911225</v>
      </c>
      <c r="S47" s="41">
        <v>0.8303814713896458</v>
      </c>
      <c r="T47" s="89">
        <f t="shared" si="9"/>
        <v>11.185701268876368</v>
      </c>
      <c r="U47" s="89">
        <f t="shared" si="10"/>
        <v>-0.4408044098837105</v>
      </c>
      <c r="V47" s="89">
        <f t="shared" si="11"/>
        <v>1.3149095410533551</v>
      </c>
      <c r="W47" s="148"/>
      <c r="X47" s="148"/>
      <c r="Y47" s="148"/>
    </row>
    <row r="48" spans="1:25" x14ac:dyDescent="0.25">
      <c r="A48" s="30" t="s">
        <v>90</v>
      </c>
      <c r="B48" s="41">
        <v>0.78711153622536056</v>
      </c>
      <c r="C48" s="41">
        <v>0.79084638597499646</v>
      </c>
      <c r="D48" s="41">
        <v>0.80326861432676178</v>
      </c>
      <c r="E48" s="41">
        <v>0.81735081865445802</v>
      </c>
      <c r="F48" s="41">
        <v>0.78353533668067288</v>
      </c>
      <c r="G48" s="41">
        <v>0.76808946383580612</v>
      </c>
      <c r="H48" s="41">
        <v>0.78786183527004783</v>
      </c>
      <c r="I48" s="41">
        <v>0.79919770773638965</v>
      </c>
      <c r="J48" s="41">
        <v>0.80512235323950809</v>
      </c>
      <c r="K48" s="41">
        <v>0.81047919331330498</v>
      </c>
      <c r="L48" s="41">
        <v>0.82133127497275704</v>
      </c>
      <c r="M48" s="41">
        <v>0.82086879997572337</v>
      </c>
      <c r="N48" s="41">
        <v>0.82575594118916251</v>
      </c>
      <c r="O48" s="41">
        <v>0.88567026688706652</v>
      </c>
      <c r="P48" s="41">
        <v>0.86114516129032259</v>
      </c>
      <c r="Q48" s="41">
        <v>0.84974152041097439</v>
      </c>
      <c r="R48" s="41">
        <v>0.85361519950752696</v>
      </c>
      <c r="S48" s="41">
        <v>0.86862232938182304</v>
      </c>
      <c r="T48" s="89">
        <f t="shared" si="9"/>
        <v>6.3499976142314951</v>
      </c>
      <c r="U48" s="89">
        <f t="shared" si="10"/>
        <v>-1.7047937505243471</v>
      </c>
      <c r="V48" s="89">
        <f t="shared" si="11"/>
        <v>1.5007129874296088</v>
      </c>
      <c r="W48" s="148"/>
      <c r="X48" s="148"/>
      <c r="Y48" s="148"/>
    </row>
    <row r="49" spans="1:25" x14ac:dyDescent="0.25">
      <c r="A49" s="81" t="s">
        <v>78</v>
      </c>
      <c r="B49" s="40">
        <v>0.64428964220771801</v>
      </c>
      <c r="C49" s="40">
        <v>0.66332661938694337</v>
      </c>
      <c r="D49" s="40">
        <v>0.68349030212607231</v>
      </c>
      <c r="E49" s="40">
        <v>0.68275976701826313</v>
      </c>
      <c r="F49" s="40">
        <v>0.65207301673355245</v>
      </c>
      <c r="G49" s="40">
        <v>0.66487253058936047</v>
      </c>
      <c r="H49" s="40">
        <v>0.66545982971799755</v>
      </c>
      <c r="I49" s="40">
        <v>0.6742567994939912</v>
      </c>
      <c r="J49" s="40">
        <v>0.68074133457899089</v>
      </c>
      <c r="K49" s="40">
        <v>0.69027902618141479</v>
      </c>
      <c r="L49" s="40">
        <v>0.71390284314825692</v>
      </c>
      <c r="M49" s="40">
        <v>0.72174052450869064</v>
      </c>
      <c r="N49" s="40">
        <v>0.70658595385063716</v>
      </c>
      <c r="O49" s="40">
        <v>0.71185353156056552</v>
      </c>
      <c r="P49" s="40">
        <v>0.72377112275942967</v>
      </c>
      <c r="Q49" s="18">
        <v>0.7380029251062421</v>
      </c>
      <c r="R49" s="18">
        <v>0.74727599106223797</v>
      </c>
      <c r="S49" s="18">
        <v>0.75399570980421327</v>
      </c>
      <c r="T49" s="90">
        <f t="shared" si="9"/>
        <v>7.3254375225222379</v>
      </c>
      <c r="U49" s="90">
        <f t="shared" si="10"/>
        <v>4.2142178243647743</v>
      </c>
      <c r="V49" s="90">
        <f t="shared" si="11"/>
        <v>0.67197187419753002</v>
      </c>
      <c r="W49" s="148"/>
      <c r="X49" s="148"/>
      <c r="Y49" s="148"/>
    </row>
    <row r="50" spans="1:25" x14ac:dyDescent="0.25">
      <c r="A50" s="30" t="s">
        <v>63</v>
      </c>
      <c r="B50" s="41">
        <v>0.54335951724496701</v>
      </c>
      <c r="C50" s="41">
        <v>0.58748057818164701</v>
      </c>
      <c r="D50" s="41">
        <v>0.61670962726566014</v>
      </c>
      <c r="E50" s="41">
        <v>0.60127902366710906</v>
      </c>
      <c r="F50" s="41">
        <v>0.58150416614848899</v>
      </c>
      <c r="G50" s="41">
        <v>0.59495305164319245</v>
      </c>
      <c r="H50" s="41">
        <v>0.60685372946632088</v>
      </c>
      <c r="I50" s="41">
        <v>0.61444172903619976</v>
      </c>
      <c r="J50" s="41">
        <v>0.620967846199594</v>
      </c>
      <c r="K50" s="41">
        <v>0.62922854087420299</v>
      </c>
      <c r="L50" s="41">
        <v>0.65887480760101846</v>
      </c>
      <c r="M50" s="41">
        <v>0.66130372384621194</v>
      </c>
      <c r="N50" s="41">
        <v>0.62291366796312742</v>
      </c>
      <c r="O50" s="41">
        <v>0.59285027532558343</v>
      </c>
      <c r="P50" s="41">
        <v>0.63297881816400337</v>
      </c>
      <c r="Q50" s="41">
        <v>0.66628523348758939</v>
      </c>
      <c r="R50" s="41">
        <v>0.66898132875898919</v>
      </c>
      <c r="S50" s="41">
        <v>0.67423714181359362</v>
      </c>
      <c r="T50" s="89">
        <f t="shared" si="9"/>
        <v>5.3269295613999628</v>
      </c>
      <c r="U50" s="89">
        <f t="shared" si="10"/>
        <v>8.1386866488010199</v>
      </c>
      <c r="V50" s="89">
        <f t="shared" si="11"/>
        <v>0.52558130546044302</v>
      </c>
      <c r="W50" s="148"/>
      <c r="X50" s="148"/>
      <c r="Y50" s="148"/>
    </row>
    <row r="51" spans="1:25" x14ac:dyDescent="0.25">
      <c r="A51" s="30" t="s">
        <v>89</v>
      </c>
      <c r="B51" s="41">
        <v>0.59110925518183888</v>
      </c>
      <c r="C51" s="41">
        <v>0.61373252206149009</v>
      </c>
      <c r="D51" s="41">
        <v>0.63668848266004663</v>
      </c>
      <c r="E51" s="41">
        <v>0.64743389818761476</v>
      </c>
      <c r="F51" s="41">
        <v>0.62603119584055456</v>
      </c>
      <c r="G51" s="41">
        <v>0.65593806492179518</v>
      </c>
      <c r="H51" s="41">
        <v>0.6571322562147941</v>
      </c>
      <c r="I51" s="41">
        <v>0.67456310679611653</v>
      </c>
      <c r="J51" s="41">
        <v>0.68432586213525048</v>
      </c>
      <c r="K51" s="41">
        <v>0.69330427892234547</v>
      </c>
      <c r="L51" s="41">
        <v>0.71378242353852106</v>
      </c>
      <c r="M51" s="41">
        <v>0.73909631124565534</v>
      </c>
      <c r="N51" s="41">
        <v>0.72297606879780074</v>
      </c>
      <c r="O51" s="41">
        <v>0.70592383638928069</v>
      </c>
      <c r="P51" s="41">
        <v>0.72250177298976737</v>
      </c>
      <c r="Q51" s="41">
        <v>0.75532137831931268</v>
      </c>
      <c r="R51" s="41">
        <v>0.75468274857537121</v>
      </c>
      <c r="S51" s="41">
        <v>0.75163804229127373</v>
      </c>
      <c r="T51" s="89">
        <f t="shared" si="9"/>
        <v>6.7312180156023249</v>
      </c>
      <c r="U51" s="89">
        <f t="shared" si="10"/>
        <v>4.5714205901993044</v>
      </c>
      <c r="V51" s="89">
        <f t="shared" si="11"/>
        <v>-0.30447062840974759</v>
      </c>
      <c r="W51" s="148"/>
      <c r="X51" s="148"/>
      <c r="Y51" s="148"/>
    </row>
    <row r="52" spans="1:25" x14ac:dyDescent="0.25">
      <c r="A52" s="30" t="s">
        <v>87</v>
      </c>
      <c r="B52" s="41">
        <v>0.74772497472194133</v>
      </c>
      <c r="C52" s="41">
        <v>0.71510242972844207</v>
      </c>
      <c r="D52" s="41">
        <v>0.70678796361091667</v>
      </c>
      <c r="E52" s="41">
        <v>0.73026315789473684</v>
      </c>
      <c r="F52" s="41">
        <v>0.54317269076305219</v>
      </c>
      <c r="G52" s="41">
        <v>0.65359828141783027</v>
      </c>
      <c r="H52" s="41">
        <v>0.68540433925049304</v>
      </c>
      <c r="I52" s="41">
        <v>0.70131131617289943</v>
      </c>
      <c r="J52" s="41">
        <v>0.68441926345609061</v>
      </c>
      <c r="K52" s="41">
        <v>0.6885572139303483</v>
      </c>
      <c r="L52" s="41">
        <v>0.72355430183356839</v>
      </c>
      <c r="M52" s="41">
        <v>0.73911452616172701</v>
      </c>
      <c r="N52" s="41">
        <v>0.78397115917914584</v>
      </c>
      <c r="O52" s="41">
        <v>0.83058964381921585</v>
      </c>
      <c r="P52" s="41">
        <v>0.78744742801682299</v>
      </c>
      <c r="Q52" s="41">
        <v>0.79452906434566362</v>
      </c>
      <c r="R52" s="41">
        <v>0.79584065612185118</v>
      </c>
      <c r="S52" s="41">
        <v>0.80830210435283945</v>
      </c>
      <c r="T52" s="89">
        <f t="shared" si="9"/>
        <v>12.388284089674883</v>
      </c>
      <c r="U52" s="89">
        <f t="shared" si="10"/>
        <v>-2.2287539466376405</v>
      </c>
      <c r="V52" s="89">
        <f t="shared" si="11"/>
        <v>1.246144823098827</v>
      </c>
      <c r="W52" s="148"/>
      <c r="X52" s="148"/>
      <c r="Y52" s="148"/>
    </row>
    <row r="53" spans="1:25" x14ac:dyDescent="0.25">
      <c r="A53" s="30" t="s">
        <v>86</v>
      </c>
      <c r="B53" s="41">
        <v>0.72954091816367261</v>
      </c>
      <c r="C53" s="41">
        <v>0.69323915237134204</v>
      </c>
      <c r="D53" s="41">
        <v>0.75391304347826082</v>
      </c>
      <c r="E53" s="41">
        <v>0.73089430894308938</v>
      </c>
      <c r="F53" s="41">
        <v>0.70444242973708071</v>
      </c>
      <c r="G53" s="41">
        <v>0.70081300813008129</v>
      </c>
      <c r="H53" s="41">
        <v>0.7027914614121511</v>
      </c>
      <c r="I53" s="41">
        <v>0.71287128712871284</v>
      </c>
      <c r="J53" s="41">
        <v>0.70588235294117652</v>
      </c>
      <c r="K53" s="41">
        <v>0.69945778466305186</v>
      </c>
      <c r="L53" s="41">
        <v>0.760752688172043</v>
      </c>
      <c r="M53" s="41">
        <v>0.76304533789563733</v>
      </c>
      <c r="N53" s="41">
        <v>0.72949389179755675</v>
      </c>
      <c r="O53" s="41">
        <v>0.80316344463971878</v>
      </c>
      <c r="P53" s="41">
        <v>0.79200000000000004</v>
      </c>
      <c r="Q53" s="41">
        <v>0.76796036333608586</v>
      </c>
      <c r="R53" s="41">
        <v>0.78661417322834648</v>
      </c>
      <c r="S53" s="41">
        <v>0.79037037037037039</v>
      </c>
      <c r="T53" s="89">
        <f t="shared" si="9"/>
        <v>8.4488017429193878</v>
      </c>
      <c r="U53" s="89">
        <f t="shared" si="10"/>
        <v>-1.2793074269348392</v>
      </c>
      <c r="V53" s="89">
        <f t="shared" si="11"/>
        <v>0.37561971420239093</v>
      </c>
      <c r="W53" s="148"/>
      <c r="X53" s="148"/>
      <c r="Y53" s="148"/>
    </row>
    <row r="54" spans="1:25" x14ac:dyDescent="0.25">
      <c r="A54" s="30" t="s">
        <v>90</v>
      </c>
      <c r="B54" s="41">
        <v>0.75263192168269333</v>
      </c>
      <c r="C54" s="41">
        <v>0.75362622182221572</v>
      </c>
      <c r="D54" s="41">
        <v>0.77026520013427857</v>
      </c>
      <c r="E54" s="41">
        <v>0.78605417615582585</v>
      </c>
      <c r="F54" s="41">
        <v>0.75120043652237178</v>
      </c>
      <c r="G54" s="41">
        <v>0.75538638060720853</v>
      </c>
      <c r="H54" s="41">
        <v>0.75494246659973741</v>
      </c>
      <c r="I54" s="41">
        <v>0.76414187957098878</v>
      </c>
      <c r="J54" s="41">
        <v>0.76712513224968737</v>
      </c>
      <c r="K54" s="41">
        <v>0.77154610397957868</v>
      </c>
      <c r="L54" s="41">
        <v>0.78507377439314607</v>
      </c>
      <c r="M54" s="41">
        <v>0.7868415077202543</v>
      </c>
      <c r="N54" s="41">
        <v>0.79589778716441195</v>
      </c>
      <c r="O54" s="41">
        <v>0.84512499227170623</v>
      </c>
      <c r="P54" s="41">
        <v>0.82842071267090112</v>
      </c>
      <c r="Q54" s="41">
        <v>0.81065498154981552</v>
      </c>
      <c r="R54" s="41">
        <v>0.82455948541336399</v>
      </c>
      <c r="S54" s="41">
        <v>0.83730988508212245</v>
      </c>
      <c r="T54" s="89">
        <f t="shared" si="9"/>
        <v>7.0184752832435082</v>
      </c>
      <c r="U54" s="89">
        <f t="shared" si="10"/>
        <v>-0.78151071895837809</v>
      </c>
      <c r="V54" s="89">
        <f t="shared" si="11"/>
        <v>1.2750399668758461</v>
      </c>
      <c r="W54" s="148"/>
      <c r="X54" s="148"/>
      <c r="Y54" s="148"/>
    </row>
    <row r="55" spans="1:25" x14ac:dyDescent="0.25">
      <c r="A55" s="81" t="s">
        <v>96</v>
      </c>
      <c r="B55" s="40">
        <v>0.66658579105335991</v>
      </c>
      <c r="C55" s="40">
        <v>0.6912781111500006</v>
      </c>
      <c r="D55" s="40">
        <v>0.70922233792689326</v>
      </c>
      <c r="E55" s="40">
        <v>0.7113320616485761</v>
      </c>
      <c r="F55" s="40">
        <v>0.6846562721474132</v>
      </c>
      <c r="G55" s="40">
        <v>0.68973220651564271</v>
      </c>
      <c r="H55" s="40">
        <v>0.69461321726761271</v>
      </c>
      <c r="I55" s="40">
        <v>0.7024570399536062</v>
      </c>
      <c r="J55" s="40">
        <v>0.71157616916382926</v>
      </c>
      <c r="K55" s="40">
        <v>0.72363000835048441</v>
      </c>
      <c r="L55" s="40">
        <v>0.73983376445526472</v>
      </c>
      <c r="M55" s="40">
        <v>0.74877261002307971</v>
      </c>
      <c r="N55" s="40">
        <v>0.73562169704699432</v>
      </c>
      <c r="O55" s="40">
        <v>0.75559151532642077</v>
      </c>
      <c r="P55" s="40">
        <v>0.75558506614668253</v>
      </c>
      <c r="Q55" s="40">
        <v>0.75949903510144479</v>
      </c>
      <c r="R55" s="40">
        <v>0.76487132988940454</v>
      </c>
      <c r="S55" s="40">
        <v>0.77306330481553465</v>
      </c>
      <c r="T55" s="90">
        <f t="shared" si="9"/>
        <v>6.1487135651705387</v>
      </c>
      <c r="U55" s="90">
        <f t="shared" si="10"/>
        <v>1.7471789489113876</v>
      </c>
      <c r="V55" s="90">
        <f t="shared" si="11"/>
        <v>0.81919749261301078</v>
      </c>
      <c r="W55" s="148"/>
      <c r="X55" s="148"/>
      <c r="Y55" s="148"/>
    </row>
    <row r="56" spans="1:25" x14ac:dyDescent="0.25">
      <c r="A56" s="117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4"/>
      <c r="U56" s="114"/>
      <c r="V56" s="114"/>
      <c r="W56" s="148"/>
      <c r="X56" s="148"/>
      <c r="Y56" s="148"/>
    </row>
    <row r="57" spans="1:25" ht="18" x14ac:dyDescent="0.25">
      <c r="A57" s="11" t="s">
        <v>455</v>
      </c>
      <c r="B57" s="11"/>
      <c r="C57" s="11"/>
      <c r="D57" s="11"/>
      <c r="E57" s="11"/>
      <c r="F57" s="11"/>
      <c r="G57" s="11"/>
      <c r="H57" s="98"/>
      <c r="I57" s="98"/>
      <c r="J57" s="98"/>
      <c r="K57" s="98"/>
      <c r="L57" s="98"/>
      <c r="M57" s="98"/>
      <c r="N57" s="98"/>
      <c r="O57" s="98"/>
      <c r="P57" s="98"/>
      <c r="Q57" s="98"/>
      <c r="T57" s="99"/>
      <c r="U57" s="99"/>
      <c r="V57" s="100"/>
      <c r="W57" s="148"/>
      <c r="X57" s="148"/>
      <c r="Y57" s="148"/>
    </row>
    <row r="58" spans="1:25" ht="45" customHeight="1" x14ac:dyDescent="0.25">
      <c r="A58" s="14" t="s">
        <v>331</v>
      </c>
      <c r="B58" s="38">
        <v>2007</v>
      </c>
      <c r="C58" s="38">
        <v>2008</v>
      </c>
      <c r="D58" s="38">
        <v>2009</v>
      </c>
      <c r="E58" s="38">
        <v>2010</v>
      </c>
      <c r="F58" s="38">
        <v>2011</v>
      </c>
      <c r="G58" s="38">
        <v>2012</v>
      </c>
      <c r="H58" s="38">
        <v>2013</v>
      </c>
      <c r="I58" s="38">
        <v>2014</v>
      </c>
      <c r="J58" s="38">
        <v>2015</v>
      </c>
      <c r="K58" s="38">
        <v>2016</v>
      </c>
      <c r="L58" s="38">
        <v>2017</v>
      </c>
      <c r="M58" s="38">
        <v>2018</v>
      </c>
      <c r="N58" s="38">
        <v>2019</v>
      </c>
      <c r="O58" s="38">
        <v>2020</v>
      </c>
      <c r="P58" s="38">
        <v>2021</v>
      </c>
      <c r="Q58" s="38">
        <v>2022</v>
      </c>
      <c r="R58" s="38">
        <v>2023</v>
      </c>
      <c r="S58" s="38">
        <v>2024</v>
      </c>
      <c r="T58" s="39" t="s">
        <v>373</v>
      </c>
      <c r="U58" s="39" t="s">
        <v>374</v>
      </c>
      <c r="V58" s="39" t="s">
        <v>375</v>
      </c>
      <c r="W58" s="148"/>
      <c r="X58" s="148"/>
      <c r="Y58" s="148"/>
    </row>
    <row r="59" spans="1:25" x14ac:dyDescent="0.25">
      <c r="A59" s="83" t="s">
        <v>77</v>
      </c>
      <c r="B59" s="62">
        <v>0.59931956547690102</v>
      </c>
      <c r="C59" s="62">
        <v>0.67102452362642062</v>
      </c>
      <c r="D59" s="62">
        <v>0.71228377490694106</v>
      </c>
      <c r="E59" s="62">
        <v>0.67932544186800714</v>
      </c>
      <c r="F59" s="62">
        <v>0.655186474702801</v>
      </c>
      <c r="G59" s="62">
        <v>0.67006726096611202</v>
      </c>
      <c r="H59" s="62">
        <v>0.67304158230805167</v>
      </c>
      <c r="I59" s="62">
        <v>0.66521177844716295</v>
      </c>
      <c r="J59" s="62">
        <v>0.6914191419141914</v>
      </c>
      <c r="K59" s="62">
        <v>0.71019684217847956</v>
      </c>
      <c r="L59" s="62">
        <v>0.71934351775392236</v>
      </c>
      <c r="M59" s="41">
        <v>0.74140824271714323</v>
      </c>
      <c r="N59" s="41">
        <v>0.72106999379429726</v>
      </c>
      <c r="O59" s="41">
        <v>0.72894599756902245</v>
      </c>
      <c r="P59" s="41">
        <v>0.73615604186489059</v>
      </c>
      <c r="Q59" s="41">
        <v>0.74938723432830812</v>
      </c>
      <c r="R59" s="41">
        <v>0.73437693738375698</v>
      </c>
      <c r="S59" s="41">
        <v>0.73473841224241754</v>
      </c>
      <c r="T59" s="89">
        <f t="shared" ref="T59:T61" si="12">(S59-J59)*100</f>
        <v>4.3319270328226134</v>
      </c>
      <c r="U59" s="89">
        <f t="shared" ref="U59:U61" si="13">(S59-O59)*100</f>
        <v>0.57924146733950854</v>
      </c>
      <c r="V59" s="139">
        <f t="shared" ref="V59:V61" si="14">(S59-R59)*100</f>
        <v>3.6147485866055984E-2</v>
      </c>
      <c r="W59" s="148"/>
      <c r="X59" s="148"/>
      <c r="Y59" s="148"/>
    </row>
    <row r="60" spans="1:25" x14ac:dyDescent="0.25">
      <c r="A60" s="83" t="s">
        <v>78</v>
      </c>
      <c r="B60" s="62">
        <v>0.55094242189517173</v>
      </c>
      <c r="C60" s="62">
        <v>0.5803350141013589</v>
      </c>
      <c r="D60" s="62">
        <v>0.62587343571118392</v>
      </c>
      <c r="E60" s="62">
        <v>0.59803655139615464</v>
      </c>
      <c r="F60" s="62">
        <v>0.57525672371638137</v>
      </c>
      <c r="G60" s="62">
        <v>0.59593801919099443</v>
      </c>
      <c r="H60" s="62">
        <v>0.60485470516009188</v>
      </c>
      <c r="I60" s="62">
        <v>0.59847314087902581</v>
      </c>
      <c r="J60" s="62">
        <v>0.62104194428580495</v>
      </c>
      <c r="K60" s="62">
        <v>0.62460128944689519</v>
      </c>
      <c r="L60" s="62">
        <v>0.65472878998609174</v>
      </c>
      <c r="M60" s="41">
        <v>0.66472125747430988</v>
      </c>
      <c r="N60" s="41">
        <v>0.63110503818933505</v>
      </c>
      <c r="O60" s="41">
        <v>0.58509136538310724</v>
      </c>
      <c r="P60" s="41">
        <v>0.62694235588972436</v>
      </c>
      <c r="Q60" s="41">
        <v>0.67821003829873006</v>
      </c>
      <c r="R60" s="41">
        <v>0.67962220306585208</v>
      </c>
      <c r="S60" s="41">
        <v>0.6779907379238076</v>
      </c>
      <c r="T60" s="89">
        <f t="shared" si="12"/>
        <v>5.6948793638002648</v>
      </c>
      <c r="U60" s="89">
        <f t="shared" si="13"/>
        <v>9.2899372540700362</v>
      </c>
      <c r="V60" s="89">
        <f t="shared" si="14"/>
        <v>-0.16314651420444859</v>
      </c>
      <c r="W60" s="148"/>
      <c r="X60" s="148"/>
      <c r="Y60" s="148"/>
    </row>
    <row r="61" spans="1:25" x14ac:dyDescent="0.25">
      <c r="A61" s="81" t="s">
        <v>96</v>
      </c>
      <c r="B61" s="40">
        <v>0.57338243029984215</v>
      </c>
      <c r="C61" s="40">
        <v>0.62568364382156894</v>
      </c>
      <c r="D61" s="40">
        <v>0.67077541577380384</v>
      </c>
      <c r="E61" s="40">
        <v>0.63962304846282747</v>
      </c>
      <c r="F61" s="40">
        <v>0.61599207110429055</v>
      </c>
      <c r="G61" s="40">
        <v>0.63396955387511145</v>
      </c>
      <c r="H61" s="40">
        <v>0.6391307070833594</v>
      </c>
      <c r="I61" s="40">
        <v>0.63193502650721245</v>
      </c>
      <c r="J61" s="40">
        <v>0.65588555683711391</v>
      </c>
      <c r="K61" s="40">
        <v>0.66687276724374833</v>
      </c>
      <c r="L61" s="40">
        <v>0.68720600442722746</v>
      </c>
      <c r="M61" s="61">
        <v>0.7043048938934604</v>
      </c>
      <c r="N61" s="61">
        <v>0.6776652749370341</v>
      </c>
      <c r="O61" s="61">
        <v>0.66138092343960075</v>
      </c>
      <c r="P61" s="61">
        <v>0.68902109248242294</v>
      </c>
      <c r="Q61" s="61">
        <v>0.71704403898292668</v>
      </c>
      <c r="R61" s="61">
        <v>0.70959094687908242</v>
      </c>
      <c r="S61" s="61">
        <v>0.70921942692103068</v>
      </c>
      <c r="T61" s="90">
        <f t="shared" si="12"/>
        <v>5.3333870083916768</v>
      </c>
      <c r="U61" s="90">
        <f t="shared" si="13"/>
        <v>4.7838503481429928</v>
      </c>
      <c r="V61" s="140">
        <f t="shared" si="14"/>
        <v>-3.7151995805173588E-2</v>
      </c>
      <c r="W61" s="148"/>
      <c r="X61" s="148"/>
      <c r="Y61" s="148"/>
    </row>
    <row r="62" spans="1:25" x14ac:dyDescent="0.25">
      <c r="A62" s="117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98"/>
      <c r="N62" s="98"/>
      <c r="O62" s="98"/>
      <c r="P62" s="98"/>
      <c r="Q62" s="98"/>
      <c r="T62" s="116"/>
      <c r="U62" s="116"/>
      <c r="V62" s="116"/>
      <c r="W62" s="148"/>
      <c r="X62" s="148"/>
      <c r="Y62" s="148"/>
    </row>
    <row r="63" spans="1:25" ht="18" x14ac:dyDescent="0.25">
      <c r="A63" s="11" t="s">
        <v>456</v>
      </c>
      <c r="B63" s="11"/>
      <c r="C63" s="11"/>
      <c r="D63" s="11"/>
      <c r="E63" s="11"/>
      <c r="F63" s="11"/>
      <c r="G63" s="11"/>
      <c r="H63" s="22"/>
      <c r="I63" s="22"/>
      <c r="J63" s="22"/>
      <c r="K63" s="22"/>
      <c r="L63" s="22"/>
      <c r="M63" s="22"/>
      <c r="N63" s="22"/>
      <c r="O63" s="22"/>
      <c r="P63" s="22"/>
      <c r="Q63" s="22"/>
      <c r="T63" s="85"/>
      <c r="U63" s="85"/>
      <c r="V63" s="86"/>
      <c r="W63" s="148"/>
      <c r="X63" s="148"/>
      <c r="Y63" s="148"/>
    </row>
    <row r="64" spans="1:25" ht="45" customHeight="1" x14ac:dyDescent="0.25">
      <c r="A64" s="14" t="s">
        <v>331</v>
      </c>
      <c r="B64" s="38">
        <v>2007</v>
      </c>
      <c r="C64" s="38">
        <v>2008</v>
      </c>
      <c r="D64" s="38">
        <v>2009</v>
      </c>
      <c r="E64" s="38">
        <v>2010</v>
      </c>
      <c r="F64" s="38">
        <v>2011</v>
      </c>
      <c r="G64" s="38">
        <v>2012</v>
      </c>
      <c r="H64" s="38">
        <v>2013</v>
      </c>
      <c r="I64" s="38">
        <v>2014</v>
      </c>
      <c r="J64" s="38">
        <v>2015</v>
      </c>
      <c r="K64" s="38">
        <v>2016</v>
      </c>
      <c r="L64" s="38">
        <v>2017</v>
      </c>
      <c r="M64" s="38">
        <v>2018</v>
      </c>
      <c r="N64" s="38">
        <v>2019</v>
      </c>
      <c r="O64" s="38">
        <v>2020</v>
      </c>
      <c r="P64" s="38">
        <v>2021</v>
      </c>
      <c r="Q64" s="38">
        <v>2022</v>
      </c>
      <c r="R64" s="38">
        <v>2023</v>
      </c>
      <c r="S64" s="38">
        <v>2024</v>
      </c>
      <c r="T64" s="39" t="s">
        <v>373</v>
      </c>
      <c r="U64" s="39" t="s">
        <v>374</v>
      </c>
      <c r="V64" s="39" t="s">
        <v>375</v>
      </c>
      <c r="W64" s="148"/>
      <c r="X64" s="148"/>
      <c r="Y64" s="148"/>
    </row>
    <row r="65" spans="1:25" x14ac:dyDescent="0.25">
      <c r="A65" s="81" t="s">
        <v>77</v>
      </c>
      <c r="B65" s="40">
        <v>0.58948803687952467</v>
      </c>
      <c r="C65" s="40">
        <v>0.6549627791563275</v>
      </c>
      <c r="D65" s="40">
        <v>0.66512413882750554</v>
      </c>
      <c r="E65" s="40">
        <v>0.67441298570079289</v>
      </c>
      <c r="F65" s="40">
        <v>0.67801887900983115</v>
      </c>
      <c r="G65" s="40">
        <v>0.67388261809986005</v>
      </c>
      <c r="H65" s="40">
        <v>0.6929884055162614</v>
      </c>
      <c r="I65" s="40">
        <v>0.70184976676853783</v>
      </c>
      <c r="J65" s="40">
        <v>0.70904526000067403</v>
      </c>
      <c r="K65" s="40">
        <v>0.72036621698523751</v>
      </c>
      <c r="L65" s="40">
        <v>0.72802850356294535</v>
      </c>
      <c r="M65" s="61">
        <v>0.74509130740431928</v>
      </c>
      <c r="N65" s="61">
        <v>0.71993252183117229</v>
      </c>
      <c r="O65" s="61">
        <v>0.72991738605773693</v>
      </c>
      <c r="P65" s="61">
        <v>0.731478666261275</v>
      </c>
      <c r="Q65" s="61">
        <v>0.73212704647531346</v>
      </c>
      <c r="R65" s="61">
        <v>0.73017894769946845</v>
      </c>
      <c r="S65" s="61">
        <v>0.73599746167462676</v>
      </c>
      <c r="T65" s="90">
        <f t="shared" ref="T65" si="15">(S65-J65)*100</f>
        <v>2.6952201673952736</v>
      </c>
      <c r="U65" s="90">
        <f t="shared" ref="U65" si="16">(S65-O65)*100</f>
        <v>0.60800756168898351</v>
      </c>
      <c r="V65" s="90">
        <f t="shared" ref="V65" si="17">(S65-R65)*100</f>
        <v>0.58185139751583126</v>
      </c>
      <c r="W65" s="148"/>
      <c r="X65" s="148"/>
      <c r="Y65" s="148"/>
    </row>
    <row r="66" spans="1:25" x14ac:dyDescent="0.25">
      <c r="A66" s="84" t="s">
        <v>63</v>
      </c>
      <c r="B66" s="41">
        <v>0.59085468039262634</v>
      </c>
      <c r="C66" s="41">
        <v>0.69687829889911024</v>
      </c>
      <c r="D66" s="41">
        <v>0.68985279244858977</v>
      </c>
      <c r="E66" s="41">
        <v>0.68890509696241631</v>
      </c>
      <c r="F66" s="41">
        <v>0.69532295555399026</v>
      </c>
      <c r="G66" s="41">
        <v>0.67272029293645164</v>
      </c>
      <c r="H66" s="41">
        <v>0.70062999427277939</v>
      </c>
      <c r="I66" s="41">
        <v>0.7067931299666752</v>
      </c>
      <c r="J66" s="41">
        <v>0.70871570538728546</v>
      </c>
      <c r="K66" s="41">
        <v>0.7183961477031634</v>
      </c>
      <c r="L66" s="41">
        <v>0.72198648048551828</v>
      </c>
      <c r="M66" s="41">
        <v>0.73528193886250148</v>
      </c>
      <c r="N66" s="41">
        <v>0.7038347320852163</v>
      </c>
      <c r="O66" s="41">
        <v>0.70434122647237396</v>
      </c>
      <c r="P66" s="41">
        <v>0.71881708281550105</v>
      </c>
      <c r="Q66" s="41">
        <v>0.71148466990739478</v>
      </c>
      <c r="R66" s="41">
        <v>0.70942059781838784</v>
      </c>
      <c r="S66" s="41">
        <v>0.71366558420041093</v>
      </c>
      <c r="T66" s="89">
        <f t="shared" ref="T66:T71" si="18">(S66-J66)*100</f>
        <v>0.49498788131254745</v>
      </c>
      <c r="U66" s="89">
        <f t="shared" ref="U66:U71" si="19">(S66-O66)*100</f>
        <v>0.93243577280369694</v>
      </c>
      <c r="V66" s="89">
        <f t="shared" ref="V66:V71" si="20">(S66-R66)*100</f>
        <v>0.4244986382023086</v>
      </c>
      <c r="W66" s="148"/>
      <c r="X66" s="148"/>
      <c r="Y66" s="148"/>
    </row>
    <row r="67" spans="1:25" x14ac:dyDescent="0.25">
      <c r="A67" s="84" t="s">
        <v>89</v>
      </c>
      <c r="B67" s="41">
        <v>0.58855078809106831</v>
      </c>
      <c r="C67" s="41">
        <v>0.62567183054062603</v>
      </c>
      <c r="D67" s="41">
        <v>0.64382832534959111</v>
      </c>
      <c r="E67" s="41">
        <v>0.65921058553490253</v>
      </c>
      <c r="F67" s="41">
        <v>0.6563437444856185</v>
      </c>
      <c r="G67" s="41">
        <v>0.67574339337209854</v>
      </c>
      <c r="H67" s="41">
        <v>0.6818955619779089</v>
      </c>
      <c r="I67" s="41">
        <v>0.69352331606217621</v>
      </c>
      <c r="J67" s="41">
        <v>0.70984725757926403</v>
      </c>
      <c r="K67" s="41">
        <v>0.7250098331179412</v>
      </c>
      <c r="L67" s="41">
        <v>0.74133434749538196</v>
      </c>
      <c r="M67" s="41">
        <v>0.76511535401750197</v>
      </c>
      <c r="N67" s="41">
        <v>0.74860849165094989</v>
      </c>
      <c r="O67" s="41">
        <v>0.77017921146953405</v>
      </c>
      <c r="P67" s="41">
        <v>0.75031515253382641</v>
      </c>
      <c r="Q67" s="41">
        <v>0.76217583807716638</v>
      </c>
      <c r="R67" s="41">
        <v>0.75606911905014307</v>
      </c>
      <c r="S67" s="41">
        <v>0.75868569889577164</v>
      </c>
      <c r="T67" s="89">
        <f t="shared" si="18"/>
        <v>4.8838441316507613</v>
      </c>
      <c r="U67" s="89">
        <f t="shared" si="19"/>
        <v>-1.149351257376241</v>
      </c>
      <c r="V67" s="89">
        <f t="shared" si="20"/>
        <v>0.26165798456285749</v>
      </c>
      <c r="W67" s="148"/>
      <c r="X67" s="148"/>
      <c r="Y67" s="148"/>
    </row>
    <row r="68" spans="1:25" x14ac:dyDescent="0.25">
      <c r="A68" s="81" t="s">
        <v>78</v>
      </c>
      <c r="B68" s="40">
        <v>0.55940732457366504</v>
      </c>
      <c r="C68" s="40">
        <v>0.60577200577200574</v>
      </c>
      <c r="D68" s="40">
        <v>0.61884061612684371</v>
      </c>
      <c r="E68" s="40">
        <v>0.61516283336609656</v>
      </c>
      <c r="F68" s="40">
        <v>0.60347764788815128</v>
      </c>
      <c r="G68" s="40">
        <v>0.61568355048248413</v>
      </c>
      <c r="H68" s="40">
        <v>0.62882574902441379</v>
      </c>
      <c r="I68" s="40">
        <v>0.64652824783163065</v>
      </c>
      <c r="J68" s="40">
        <v>0.64292797112993161</v>
      </c>
      <c r="K68" s="40">
        <v>0.64972908682436892</v>
      </c>
      <c r="L68" s="40">
        <v>0.68783041088720231</v>
      </c>
      <c r="M68" s="61">
        <v>0.6974321662437224</v>
      </c>
      <c r="N68" s="61">
        <v>0.66529643452984988</v>
      </c>
      <c r="O68" s="61">
        <v>0.64523886164391342</v>
      </c>
      <c r="P68" s="61">
        <v>0.67820756042720631</v>
      </c>
      <c r="Q68" s="61">
        <v>0.70866116650208644</v>
      </c>
      <c r="R68" s="61">
        <v>0.71388954448902531</v>
      </c>
      <c r="S68" s="61">
        <v>0.71984618412486945</v>
      </c>
      <c r="T68" s="90">
        <f t="shared" si="18"/>
        <v>7.6918212994937836</v>
      </c>
      <c r="U68" s="90">
        <f t="shared" si="19"/>
        <v>7.4607322480956029</v>
      </c>
      <c r="V68" s="90">
        <f t="shared" si="20"/>
        <v>0.59566396358441409</v>
      </c>
      <c r="W68" s="148"/>
      <c r="X68" s="148"/>
      <c r="Y68" s="148"/>
    </row>
    <row r="69" spans="1:25" x14ac:dyDescent="0.25">
      <c r="A69" s="84" t="s">
        <v>63</v>
      </c>
      <c r="B69" s="41">
        <v>0.52848525469168905</v>
      </c>
      <c r="C69" s="41">
        <v>0.59783558513141088</v>
      </c>
      <c r="D69" s="41">
        <v>0.60875520490905111</v>
      </c>
      <c r="E69" s="41">
        <v>0.59658632739001882</v>
      </c>
      <c r="F69" s="41">
        <v>0.59185758062162552</v>
      </c>
      <c r="G69" s="41">
        <v>0.59401870332015316</v>
      </c>
      <c r="H69" s="41">
        <v>0.61257329878630851</v>
      </c>
      <c r="I69" s="41">
        <v>0.63048351760330157</v>
      </c>
      <c r="J69" s="41">
        <v>0.62176414189837004</v>
      </c>
      <c r="K69" s="41">
        <v>0.62508188559599609</v>
      </c>
      <c r="L69" s="41">
        <v>0.66355004077828261</v>
      </c>
      <c r="M69" s="41">
        <v>0.65971834481047209</v>
      </c>
      <c r="N69" s="41">
        <v>0.61412418551169035</v>
      </c>
      <c r="O69" s="41">
        <v>0.58726210665159229</v>
      </c>
      <c r="P69" s="41">
        <v>0.63299590781822102</v>
      </c>
      <c r="Q69" s="41">
        <v>0.65710258733514548</v>
      </c>
      <c r="R69" s="41">
        <v>0.66007188088310798</v>
      </c>
      <c r="S69" s="41">
        <v>0.67153866595801226</v>
      </c>
      <c r="T69" s="89">
        <f t="shared" si="18"/>
        <v>4.9774524059642218</v>
      </c>
      <c r="U69" s="89">
        <f t="shared" si="19"/>
        <v>8.4276559306419969</v>
      </c>
      <c r="V69" s="89">
        <f t="shared" si="20"/>
        <v>1.1466785074904284</v>
      </c>
      <c r="W69" s="148"/>
      <c r="X69" s="148"/>
      <c r="Y69" s="148"/>
    </row>
    <row r="70" spans="1:25" x14ac:dyDescent="0.25">
      <c r="A70" s="84" t="s">
        <v>89</v>
      </c>
      <c r="B70" s="41">
        <v>0.58153477218225424</v>
      </c>
      <c r="C70" s="41">
        <v>0.61174328629949937</v>
      </c>
      <c r="D70" s="41">
        <v>0.62738454397772103</v>
      </c>
      <c r="E70" s="41">
        <v>0.63283747495844167</v>
      </c>
      <c r="F70" s="41">
        <v>0.61694213129306341</v>
      </c>
      <c r="G70" s="41">
        <v>0.64794392523364486</v>
      </c>
      <c r="H70" s="41">
        <v>0.65233342538167183</v>
      </c>
      <c r="I70" s="41">
        <v>0.67247559016190828</v>
      </c>
      <c r="J70" s="41">
        <v>0.68125942512452586</v>
      </c>
      <c r="K70" s="41">
        <v>0.69177133151566617</v>
      </c>
      <c r="L70" s="41">
        <v>0.72410042205108127</v>
      </c>
      <c r="M70" s="41">
        <v>0.74785385476713806</v>
      </c>
      <c r="N70" s="41">
        <v>0.72500279506577725</v>
      </c>
      <c r="O70" s="41">
        <v>0.70378263185934997</v>
      </c>
      <c r="P70" s="41">
        <v>0.72153422772617815</v>
      </c>
      <c r="Q70" s="41">
        <v>0.75523691151059513</v>
      </c>
      <c r="R70" s="41">
        <v>0.75464655105373668</v>
      </c>
      <c r="S70" s="41">
        <v>0.75188859790491536</v>
      </c>
      <c r="T70" s="89">
        <f t="shared" si="18"/>
        <v>7.0629172780389489</v>
      </c>
      <c r="U70" s="89">
        <f t="shared" si="19"/>
        <v>4.8105966045565385</v>
      </c>
      <c r="V70" s="89">
        <f t="shared" si="20"/>
        <v>-0.27579531488213238</v>
      </c>
      <c r="W70" s="148"/>
      <c r="X70" s="148"/>
      <c r="Y70" s="148"/>
    </row>
    <row r="71" spans="1:25" x14ac:dyDescent="0.25">
      <c r="A71" s="81" t="s">
        <v>96</v>
      </c>
      <c r="B71" s="40">
        <v>0.57332552235891432</v>
      </c>
      <c r="C71" s="40">
        <v>0.62948123785319177</v>
      </c>
      <c r="D71" s="40">
        <v>0.64158851038818332</v>
      </c>
      <c r="E71" s="40">
        <v>0.64470485160442448</v>
      </c>
      <c r="F71" s="40">
        <v>0.64074570894243665</v>
      </c>
      <c r="G71" s="40">
        <v>0.64525364092239779</v>
      </c>
      <c r="H71" s="40">
        <v>0.66088429885428435</v>
      </c>
      <c r="I71" s="40">
        <v>0.67389038720096739</v>
      </c>
      <c r="J71" s="40">
        <v>0.67539280011252412</v>
      </c>
      <c r="K71" s="40">
        <v>0.68481568314461017</v>
      </c>
      <c r="L71" s="40">
        <v>0.70821039955270737</v>
      </c>
      <c r="M71" s="61">
        <v>0.72223829541006479</v>
      </c>
      <c r="N71" s="61">
        <v>0.6931495299523629</v>
      </c>
      <c r="O71" s="61">
        <v>0.6879956504621384</v>
      </c>
      <c r="P71" s="61">
        <v>0.70536467751657628</v>
      </c>
      <c r="Q71" s="61">
        <v>0.72033145190344661</v>
      </c>
      <c r="R71" s="61">
        <v>0.721774009407395</v>
      </c>
      <c r="S71" s="61">
        <v>0.7275282683267692</v>
      </c>
      <c r="T71" s="90">
        <f t="shared" si="18"/>
        <v>5.213546821424508</v>
      </c>
      <c r="U71" s="90">
        <f t="shared" si="19"/>
        <v>3.9532617864630804</v>
      </c>
      <c r="V71" s="90">
        <f t="shared" si="20"/>
        <v>0.57542589193742</v>
      </c>
      <c r="W71" s="148"/>
      <c r="X71" s="148"/>
      <c r="Y71" s="148"/>
    </row>
    <row r="72" spans="1:25" x14ac:dyDescent="0.25">
      <c r="A72" s="117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98"/>
      <c r="N72" s="98"/>
      <c r="O72" s="98"/>
      <c r="P72" s="98"/>
      <c r="Q72" s="98"/>
      <c r="T72" s="114"/>
      <c r="U72" s="114"/>
      <c r="V72" s="114"/>
      <c r="W72" s="148"/>
      <c r="X72" s="148"/>
      <c r="Y72" s="148"/>
    </row>
    <row r="73" spans="1:25" ht="18" x14ac:dyDescent="0.25">
      <c r="A73" s="11" t="s">
        <v>457</v>
      </c>
      <c r="B73" s="11"/>
      <c r="C73" s="11"/>
      <c r="D73" s="11"/>
      <c r="E73" s="11"/>
      <c r="F73" s="11"/>
      <c r="G73" s="11"/>
      <c r="H73" s="22"/>
      <c r="I73" s="22"/>
      <c r="J73" s="22"/>
      <c r="K73" s="22"/>
      <c r="L73" s="22"/>
      <c r="T73" s="85"/>
      <c r="U73" s="85"/>
      <c r="V73" s="86"/>
      <c r="W73" s="148"/>
      <c r="X73" s="148"/>
      <c r="Y73" s="148"/>
    </row>
    <row r="74" spans="1:25" ht="45" customHeight="1" x14ac:dyDescent="0.25">
      <c r="A74" s="14" t="s">
        <v>331</v>
      </c>
      <c r="B74" s="38">
        <v>2007</v>
      </c>
      <c r="C74" s="38">
        <v>2008</v>
      </c>
      <c r="D74" s="38">
        <v>2009</v>
      </c>
      <c r="E74" s="38">
        <v>2010</v>
      </c>
      <c r="F74" s="38">
        <v>2011</v>
      </c>
      <c r="G74" s="38">
        <v>2012</v>
      </c>
      <c r="H74" s="38">
        <v>2013</v>
      </c>
      <c r="I74" s="38">
        <v>2014</v>
      </c>
      <c r="J74" s="38">
        <v>2015</v>
      </c>
      <c r="K74" s="38">
        <v>2016</v>
      </c>
      <c r="L74" s="38">
        <v>2017</v>
      </c>
      <c r="M74" s="38">
        <v>2018</v>
      </c>
      <c r="N74" s="38">
        <v>2019</v>
      </c>
      <c r="O74" s="38">
        <v>2020</v>
      </c>
      <c r="P74" s="38">
        <v>2021</v>
      </c>
      <c r="Q74" s="38">
        <v>2022</v>
      </c>
      <c r="R74" s="38">
        <v>2023</v>
      </c>
      <c r="S74" s="38">
        <v>2024</v>
      </c>
      <c r="T74" s="39" t="s">
        <v>373</v>
      </c>
      <c r="U74" s="39" t="s">
        <v>374</v>
      </c>
      <c r="V74" s="39" t="s">
        <v>375</v>
      </c>
      <c r="W74" s="148"/>
      <c r="X74" s="148"/>
      <c r="Y74" s="148"/>
    </row>
    <row r="75" spans="1:25" x14ac:dyDescent="0.25">
      <c r="A75" s="81" t="s">
        <v>77</v>
      </c>
      <c r="B75" s="40">
        <v>0.7653261402648357</v>
      </c>
      <c r="C75" s="40">
        <v>0.76940203060112744</v>
      </c>
      <c r="D75" s="40">
        <v>0.78103169163008446</v>
      </c>
      <c r="E75" s="40">
        <v>0.80137585493876251</v>
      </c>
      <c r="F75" s="40">
        <v>0.76608417296389586</v>
      </c>
      <c r="G75" s="40">
        <v>0.75716450105284783</v>
      </c>
      <c r="H75" s="40">
        <v>0.76881989425430353</v>
      </c>
      <c r="I75" s="40">
        <v>0.78335007814244251</v>
      </c>
      <c r="J75" s="40">
        <v>0.7894780321909981</v>
      </c>
      <c r="K75" s="40">
        <v>0.79934870392080237</v>
      </c>
      <c r="L75" s="40">
        <v>0.80854340814848946</v>
      </c>
      <c r="M75" s="40">
        <v>0.80781973075305002</v>
      </c>
      <c r="N75" s="40">
        <v>0.81298113611717293</v>
      </c>
      <c r="O75" s="40">
        <v>0.8699496189848015</v>
      </c>
      <c r="P75" s="40">
        <v>0.8463190533083006</v>
      </c>
      <c r="Q75" s="40">
        <v>0.83269445318534197</v>
      </c>
      <c r="R75" s="40">
        <v>0.83969437057567697</v>
      </c>
      <c r="S75" s="40">
        <v>0.85336633782338589</v>
      </c>
      <c r="T75" s="90">
        <f t="shared" ref="T75:T87" si="21">(S75-J75)*100</f>
        <v>6.3888305632387787</v>
      </c>
      <c r="U75" s="90">
        <f t="shared" ref="U75:U87" si="22">(S75-O75)*100</f>
        <v>-1.6583281161415608</v>
      </c>
      <c r="V75" s="90">
        <f t="shared" ref="V75:V87" si="23">(S75-R75)*100</f>
        <v>1.3671967247708916</v>
      </c>
      <c r="W75" s="148"/>
      <c r="X75" s="148"/>
      <c r="Y75" s="148"/>
    </row>
    <row r="76" spans="1:25" x14ac:dyDescent="0.25">
      <c r="A76" s="84" t="s">
        <v>63</v>
      </c>
      <c r="B76" s="41">
        <v>0.50992063492063489</v>
      </c>
      <c r="C76" s="41">
        <v>0.54039087947882736</v>
      </c>
      <c r="D76" s="41">
        <v>0.5587624105287462</v>
      </c>
      <c r="E76" s="41">
        <v>0.70150607875158777</v>
      </c>
      <c r="F76" s="41">
        <v>0.63806463806463809</v>
      </c>
      <c r="G76" s="41">
        <v>0.67645965042766831</v>
      </c>
      <c r="H76" s="41">
        <v>0.64818137334855652</v>
      </c>
      <c r="I76" s="41">
        <v>0.67563025210084038</v>
      </c>
      <c r="J76" s="41">
        <v>0.68918918918918914</v>
      </c>
      <c r="K76" s="41">
        <v>0.76147144240077447</v>
      </c>
      <c r="L76" s="41">
        <v>0.74648422652983659</v>
      </c>
      <c r="M76" s="41">
        <v>0.75063705860939212</v>
      </c>
      <c r="N76" s="41">
        <v>0.74859250630945451</v>
      </c>
      <c r="O76" s="41">
        <v>0.75883224032155705</v>
      </c>
      <c r="P76" s="41">
        <v>0.74448398576512453</v>
      </c>
      <c r="Q76" s="41">
        <v>0.69271206690561526</v>
      </c>
      <c r="R76" s="41">
        <v>0.72278664731494924</v>
      </c>
      <c r="S76" s="41">
        <v>0.71527605843030451</v>
      </c>
      <c r="T76" s="89">
        <f t="shared" si="21"/>
        <v>2.6086869241115362</v>
      </c>
      <c r="U76" s="89">
        <f t="shared" si="22"/>
        <v>-4.3556181891252539</v>
      </c>
      <c r="V76" s="89">
        <f t="shared" si="23"/>
        <v>-0.75105888846447311</v>
      </c>
      <c r="W76" s="148"/>
      <c r="X76" s="148"/>
      <c r="Y76" s="148"/>
    </row>
    <row r="77" spans="1:25" x14ac:dyDescent="0.25">
      <c r="A77" s="84" t="s">
        <v>322</v>
      </c>
      <c r="B77" s="41">
        <v>0.65689742294087927</v>
      </c>
      <c r="C77" s="41">
        <v>0.66874999999999996</v>
      </c>
      <c r="D77" s="41">
        <v>0.70578133943903831</v>
      </c>
      <c r="E77" s="41">
        <v>0.74563683624210919</v>
      </c>
      <c r="F77" s="41">
        <v>0.73569482288828336</v>
      </c>
      <c r="G77" s="41">
        <v>0.76465284039675385</v>
      </c>
      <c r="H77" s="41">
        <v>0.7312775330396476</v>
      </c>
      <c r="I77" s="41">
        <v>0.75112936344969194</v>
      </c>
      <c r="J77" s="41">
        <v>0.70662650602409638</v>
      </c>
      <c r="K77" s="41">
        <v>0.71041055718475077</v>
      </c>
      <c r="L77" s="41">
        <v>0.67440119760479045</v>
      </c>
      <c r="M77" s="41">
        <v>0.6645161290322581</v>
      </c>
      <c r="N77" s="41">
        <v>0.70684931506849313</v>
      </c>
      <c r="O77" s="41">
        <v>0.83286118980169976</v>
      </c>
      <c r="P77" s="41">
        <v>0.79555555555555557</v>
      </c>
      <c r="Q77" s="41">
        <v>0.73863636363636365</v>
      </c>
      <c r="R77" s="41">
        <v>0.79047619047619044</v>
      </c>
      <c r="S77" s="41">
        <v>0.73094170403587444</v>
      </c>
      <c r="T77" s="89">
        <f t="shared" si="21"/>
        <v>2.4315198011778061</v>
      </c>
      <c r="U77" s="89">
        <f t="shared" si="22"/>
        <v>-10.191948576582533</v>
      </c>
      <c r="V77" s="89">
        <f t="shared" si="23"/>
        <v>-5.9534486440316003</v>
      </c>
      <c r="W77" s="148"/>
      <c r="X77" s="148"/>
      <c r="Y77" s="148"/>
    </row>
    <row r="78" spans="1:25" x14ac:dyDescent="0.25">
      <c r="A78" s="84" t="s">
        <v>110</v>
      </c>
      <c r="B78" s="41">
        <v>0.6369949494949495</v>
      </c>
      <c r="C78" s="41">
        <v>0.58802395209580838</v>
      </c>
      <c r="D78" s="41">
        <v>0.59744680851063825</v>
      </c>
      <c r="E78" s="41">
        <v>0.64912280701754388</v>
      </c>
      <c r="F78" s="41">
        <v>0.50684931506849318</v>
      </c>
      <c r="G78" s="41">
        <v>0.58010630220197423</v>
      </c>
      <c r="H78" s="41">
        <v>0.58133669609079441</v>
      </c>
      <c r="I78" s="41">
        <v>0.63419007770472202</v>
      </c>
      <c r="J78" s="41">
        <v>0.63375430539609645</v>
      </c>
      <c r="K78" s="41">
        <v>0.61218512009373172</v>
      </c>
      <c r="L78" s="41">
        <v>0.6535654126895003</v>
      </c>
      <c r="M78" s="41">
        <v>0.65685850281263525</v>
      </c>
      <c r="N78" s="41">
        <v>0.67828020756115637</v>
      </c>
      <c r="O78" s="41">
        <v>0.71768316072113536</v>
      </c>
      <c r="P78" s="41">
        <v>0.67901701323251418</v>
      </c>
      <c r="Q78" s="41">
        <v>0.67189952904238615</v>
      </c>
      <c r="R78" s="41">
        <v>0.66958105646630239</v>
      </c>
      <c r="S78" s="41">
        <v>0.66995768688293367</v>
      </c>
      <c r="T78" s="89">
        <f t="shared" si="21"/>
        <v>3.6203381486837216</v>
      </c>
      <c r="U78" s="89">
        <f t="shared" si="22"/>
        <v>-4.7725473838201697</v>
      </c>
      <c r="V78" s="89">
        <f t="shared" si="23"/>
        <v>3.7663041663127395E-2</v>
      </c>
      <c r="W78" s="148"/>
      <c r="X78" s="148"/>
      <c r="Y78" s="148"/>
    </row>
    <row r="79" spans="1:25" x14ac:dyDescent="0.25">
      <c r="A79" s="84" t="s">
        <v>86</v>
      </c>
      <c r="B79" s="41">
        <v>0.78797468354430378</v>
      </c>
      <c r="C79" s="41">
        <v>0.76013805004314061</v>
      </c>
      <c r="D79" s="41">
        <v>0.75475113122171944</v>
      </c>
      <c r="E79" s="41">
        <v>0.734375</v>
      </c>
      <c r="F79" s="41">
        <v>0.73244781783681212</v>
      </c>
      <c r="G79" s="41">
        <v>0.67454545454545456</v>
      </c>
      <c r="H79" s="41">
        <v>0.717206132879046</v>
      </c>
      <c r="I79" s="41">
        <v>0.72735346358792186</v>
      </c>
      <c r="J79" s="41">
        <v>0.71852445870088211</v>
      </c>
      <c r="K79" s="41">
        <v>0.71296296296296291</v>
      </c>
      <c r="L79" s="41">
        <v>0.76684280052840159</v>
      </c>
      <c r="M79" s="41">
        <v>0.79046762589928055</v>
      </c>
      <c r="N79" s="41">
        <v>0.76710097719869708</v>
      </c>
      <c r="O79" s="41">
        <v>0.8347895154884829</v>
      </c>
      <c r="P79" s="41">
        <v>0.81684382665576449</v>
      </c>
      <c r="Q79" s="41">
        <v>0.80200308166409862</v>
      </c>
      <c r="R79" s="41">
        <v>0.81723237597911225</v>
      </c>
      <c r="S79" s="41">
        <v>0.8303814713896458</v>
      </c>
      <c r="T79" s="89">
        <f t="shared" si="21"/>
        <v>11.185701268876368</v>
      </c>
      <c r="U79" s="89">
        <f t="shared" si="22"/>
        <v>-0.4408044098837105</v>
      </c>
      <c r="V79" s="89">
        <f t="shared" si="23"/>
        <v>1.3149095410533551</v>
      </c>
      <c r="W79" s="148"/>
      <c r="X79" s="148"/>
      <c r="Y79" s="148"/>
    </row>
    <row r="80" spans="1:25" x14ac:dyDescent="0.25">
      <c r="A80" s="84" t="s">
        <v>90</v>
      </c>
      <c r="B80" s="41">
        <v>0.78711153622536056</v>
      </c>
      <c r="C80" s="41">
        <v>0.79084638597499646</v>
      </c>
      <c r="D80" s="41">
        <v>0.80326861432676178</v>
      </c>
      <c r="E80" s="41">
        <v>0.81735081865445802</v>
      </c>
      <c r="F80" s="41">
        <v>0.78353533668067288</v>
      </c>
      <c r="G80" s="41">
        <v>0.76808946383580612</v>
      </c>
      <c r="H80" s="41">
        <v>0.78786183527004783</v>
      </c>
      <c r="I80" s="41">
        <v>0.79919770773638965</v>
      </c>
      <c r="J80" s="41">
        <v>0.80512235323950809</v>
      </c>
      <c r="K80" s="41">
        <v>0.81047919331330498</v>
      </c>
      <c r="L80" s="41">
        <v>0.82133127497275704</v>
      </c>
      <c r="M80" s="41">
        <v>0.82086879997572337</v>
      </c>
      <c r="N80" s="41">
        <v>0.82575594118916251</v>
      </c>
      <c r="O80" s="41">
        <v>0.88567026688706652</v>
      </c>
      <c r="P80" s="41">
        <v>0.86114516129032259</v>
      </c>
      <c r="Q80" s="41">
        <v>0.84974152041097439</v>
      </c>
      <c r="R80" s="41">
        <v>0.85361519950752696</v>
      </c>
      <c r="S80" s="41">
        <v>0.86862232938182304</v>
      </c>
      <c r="T80" s="89">
        <f t="shared" si="21"/>
        <v>6.3499976142314951</v>
      </c>
      <c r="U80" s="89">
        <f t="shared" si="22"/>
        <v>-1.7047937505243471</v>
      </c>
      <c r="V80" s="89">
        <f t="shared" si="23"/>
        <v>1.5007129874296088</v>
      </c>
      <c r="W80" s="148"/>
      <c r="X80" s="148"/>
      <c r="Y80" s="148"/>
    </row>
    <row r="81" spans="1:25" x14ac:dyDescent="0.25">
      <c r="A81" s="81" t="s">
        <v>78</v>
      </c>
      <c r="B81" s="40">
        <v>0.72680658239923679</v>
      </c>
      <c r="C81" s="40">
        <v>0.7288138412909666</v>
      </c>
      <c r="D81" s="40">
        <v>0.74693203272498432</v>
      </c>
      <c r="E81" s="40">
        <v>0.76356118436271103</v>
      </c>
      <c r="F81" s="40">
        <v>0.72167632968392581</v>
      </c>
      <c r="G81" s="40">
        <v>0.73246085466112776</v>
      </c>
      <c r="H81" s="40">
        <v>0.72786617100371742</v>
      </c>
      <c r="I81" s="40">
        <v>0.73870084581147433</v>
      </c>
      <c r="J81" s="40">
        <v>0.74509803921568629</v>
      </c>
      <c r="K81" s="40">
        <v>0.75594143072942377</v>
      </c>
      <c r="L81" s="40">
        <v>0.76276524185164807</v>
      </c>
      <c r="M81" s="40">
        <v>0.76702026841123783</v>
      </c>
      <c r="N81" s="40">
        <v>0.77742010730114297</v>
      </c>
      <c r="O81" s="40">
        <v>0.82659686575789515</v>
      </c>
      <c r="P81" s="40">
        <v>0.81221527990348774</v>
      </c>
      <c r="Q81" s="40">
        <v>0.79597636024476559</v>
      </c>
      <c r="R81" s="40">
        <v>0.8100106397742517</v>
      </c>
      <c r="S81" s="40">
        <v>0.82259145319971982</v>
      </c>
      <c r="T81" s="90">
        <f t="shared" si="21"/>
        <v>7.7493413984033532</v>
      </c>
      <c r="U81" s="90">
        <f t="shared" si="22"/>
        <v>-0.40054125581753253</v>
      </c>
      <c r="V81" s="90">
        <f t="shared" si="23"/>
        <v>1.2580813425468129</v>
      </c>
      <c r="W81" s="148"/>
      <c r="X81" s="148"/>
      <c r="Y81" s="148"/>
    </row>
    <row r="82" spans="1:25" x14ac:dyDescent="0.25">
      <c r="A82" s="84" t="s">
        <v>63</v>
      </c>
      <c r="B82" s="41">
        <v>0.56140350877192979</v>
      </c>
      <c r="C82" s="41">
        <v>0.59061681352703022</v>
      </c>
      <c r="D82" s="41">
        <v>0.60030194376297419</v>
      </c>
      <c r="E82" s="41">
        <v>0.63329601791140255</v>
      </c>
      <c r="F82" s="41">
        <v>0.56673609998397689</v>
      </c>
      <c r="G82" s="41">
        <v>0.59505955006616673</v>
      </c>
      <c r="H82" s="41">
        <v>0.58836915297092285</v>
      </c>
      <c r="I82" s="41">
        <v>0.59818861414606095</v>
      </c>
      <c r="J82" s="41">
        <v>0.61549636803874097</v>
      </c>
      <c r="K82" s="41">
        <v>0.67644230769230773</v>
      </c>
      <c r="L82" s="41">
        <v>0.65245136186770425</v>
      </c>
      <c r="M82" s="41">
        <v>0.65394824153948239</v>
      </c>
      <c r="N82" s="41">
        <v>0.63049853372434017</v>
      </c>
      <c r="O82" s="41">
        <v>0.65982972136222906</v>
      </c>
      <c r="P82" s="41">
        <v>0.66620530565167246</v>
      </c>
      <c r="Q82" s="41">
        <v>0.66168844638041902</v>
      </c>
      <c r="R82" s="41">
        <v>0.66398985629754859</v>
      </c>
      <c r="S82" s="41">
        <v>0.66496519721577729</v>
      </c>
      <c r="T82" s="89">
        <f t="shared" si="21"/>
        <v>4.9468829177036326</v>
      </c>
      <c r="U82" s="89">
        <f t="shared" si="22"/>
        <v>0.51354758535482325</v>
      </c>
      <c r="V82" s="89">
        <f t="shared" si="23"/>
        <v>9.753409182287065E-2</v>
      </c>
      <c r="W82" s="148"/>
      <c r="X82" s="148"/>
      <c r="Y82" s="148"/>
    </row>
    <row r="83" spans="1:25" x14ac:dyDescent="0.25">
      <c r="A83" s="84" t="s">
        <v>322</v>
      </c>
      <c r="B83" s="41">
        <v>0.6274581209031318</v>
      </c>
      <c r="C83" s="41">
        <v>0.62153053132434577</v>
      </c>
      <c r="D83" s="41">
        <v>0.67645308470541554</v>
      </c>
      <c r="E83" s="41">
        <v>0.71089696071163822</v>
      </c>
      <c r="F83" s="41">
        <v>0.66743693433468132</v>
      </c>
      <c r="G83" s="41">
        <v>0.69822046465645082</v>
      </c>
      <c r="H83" s="41">
        <v>0.6854350860865519</v>
      </c>
      <c r="I83" s="41">
        <v>0.68706811451135241</v>
      </c>
      <c r="J83" s="41">
        <v>0.70058139534883723</v>
      </c>
      <c r="K83" s="41">
        <v>0.70526682943843744</v>
      </c>
      <c r="L83" s="41">
        <v>0.63048823322795922</v>
      </c>
      <c r="M83" s="41">
        <v>0.65922844175491679</v>
      </c>
      <c r="N83" s="41">
        <v>0.68766233766233764</v>
      </c>
      <c r="O83" s="41">
        <v>0.79066265060240959</v>
      </c>
      <c r="P83" s="41">
        <v>0.77449168207024033</v>
      </c>
      <c r="Q83" s="41">
        <v>0.76201923076923073</v>
      </c>
      <c r="R83" s="41">
        <v>0.7571942446043165</v>
      </c>
      <c r="S83" s="41">
        <v>0.73448275862068968</v>
      </c>
      <c r="T83" s="89">
        <f t="shared" si="21"/>
        <v>3.3901363271852447</v>
      </c>
      <c r="U83" s="89">
        <f t="shared" si="22"/>
        <v>-5.6179891981719905</v>
      </c>
      <c r="V83" s="89">
        <f t="shared" si="23"/>
        <v>-2.2711485983626822</v>
      </c>
      <c r="W83" s="148"/>
      <c r="X83" s="148"/>
      <c r="Y83" s="148"/>
    </row>
    <row r="84" spans="1:25" x14ac:dyDescent="0.25">
      <c r="A84" s="84" t="s">
        <v>110</v>
      </c>
      <c r="B84" s="41">
        <v>0.74772497472194133</v>
      </c>
      <c r="C84" s="41">
        <v>0.71510242972844207</v>
      </c>
      <c r="D84" s="41">
        <v>0.70678796361091667</v>
      </c>
      <c r="E84" s="41">
        <v>0.73026315789473684</v>
      </c>
      <c r="F84" s="41">
        <v>0.54317269076305219</v>
      </c>
      <c r="G84" s="41">
        <v>0.65359828141783027</v>
      </c>
      <c r="H84" s="41">
        <v>0.68540433925049304</v>
      </c>
      <c r="I84" s="41">
        <v>0.70131131617289943</v>
      </c>
      <c r="J84" s="41">
        <v>0.68441926345609061</v>
      </c>
      <c r="K84" s="41">
        <v>0.6885572139303483</v>
      </c>
      <c r="L84" s="41">
        <v>0.72355430183356839</v>
      </c>
      <c r="M84" s="41">
        <v>0.73911452616172701</v>
      </c>
      <c r="N84" s="41">
        <v>0.78397115917914584</v>
      </c>
      <c r="O84" s="41">
        <v>0.83058964381921585</v>
      </c>
      <c r="P84" s="41">
        <v>0.78744742801682299</v>
      </c>
      <c r="Q84" s="41">
        <v>0.79452906434566362</v>
      </c>
      <c r="R84" s="41">
        <v>0.79584065612185118</v>
      </c>
      <c r="S84" s="41">
        <v>0.80830210435283945</v>
      </c>
      <c r="T84" s="89">
        <f t="shared" si="21"/>
        <v>12.388284089674883</v>
      </c>
      <c r="U84" s="89">
        <f t="shared" si="22"/>
        <v>-2.2287539466376405</v>
      </c>
      <c r="V84" s="89">
        <f t="shared" si="23"/>
        <v>1.246144823098827</v>
      </c>
      <c r="W84" s="148"/>
      <c r="X84" s="148"/>
      <c r="Y84" s="148"/>
    </row>
    <row r="85" spans="1:25" x14ac:dyDescent="0.25">
      <c r="A85" s="84" t="s">
        <v>86</v>
      </c>
      <c r="B85" s="41">
        <v>0.72954091816367261</v>
      </c>
      <c r="C85" s="41">
        <v>0.69323915237134204</v>
      </c>
      <c r="D85" s="41">
        <v>0.75391304347826082</v>
      </c>
      <c r="E85" s="41">
        <v>0.73089430894308938</v>
      </c>
      <c r="F85" s="41">
        <v>0.70444242973708071</v>
      </c>
      <c r="G85" s="41">
        <v>0.70081300813008129</v>
      </c>
      <c r="H85" s="41">
        <v>0.7027914614121511</v>
      </c>
      <c r="I85" s="41">
        <v>0.71287128712871284</v>
      </c>
      <c r="J85" s="41">
        <v>0.70588235294117652</v>
      </c>
      <c r="K85" s="41">
        <v>0.69945778466305186</v>
      </c>
      <c r="L85" s="41">
        <v>0.760752688172043</v>
      </c>
      <c r="M85" s="41">
        <v>0.76304533789563733</v>
      </c>
      <c r="N85" s="41">
        <v>0.72949389179755675</v>
      </c>
      <c r="O85" s="41">
        <v>0.80316344463971878</v>
      </c>
      <c r="P85" s="41">
        <v>0.79200000000000004</v>
      </c>
      <c r="Q85" s="41">
        <v>0.76796036333608586</v>
      </c>
      <c r="R85" s="41">
        <v>0.78661417322834648</v>
      </c>
      <c r="S85" s="41">
        <v>0.79037037037037039</v>
      </c>
      <c r="T85" s="89">
        <f t="shared" si="21"/>
        <v>8.4488017429193878</v>
      </c>
      <c r="U85" s="89">
        <f t="shared" si="22"/>
        <v>-1.2793074269348392</v>
      </c>
      <c r="V85" s="89">
        <f t="shared" si="23"/>
        <v>0.37561971420239093</v>
      </c>
      <c r="W85" s="148"/>
      <c r="X85" s="148"/>
      <c r="Y85" s="148"/>
    </row>
    <row r="86" spans="1:25" x14ac:dyDescent="0.25">
      <c r="A86" s="84" t="s">
        <v>90</v>
      </c>
      <c r="B86" s="41">
        <v>0.75263192168269333</v>
      </c>
      <c r="C86" s="41">
        <v>0.75362622182221572</v>
      </c>
      <c r="D86" s="41">
        <v>0.77026520013427857</v>
      </c>
      <c r="E86" s="41">
        <v>0.78605417615582585</v>
      </c>
      <c r="F86" s="41">
        <v>0.75120043652237178</v>
      </c>
      <c r="G86" s="41">
        <v>0.75538638060720853</v>
      </c>
      <c r="H86" s="41">
        <v>0.75494246659973741</v>
      </c>
      <c r="I86" s="41">
        <v>0.76414187957098878</v>
      </c>
      <c r="J86" s="41">
        <v>0.76712513224968737</v>
      </c>
      <c r="K86" s="41">
        <v>0.77154610397957868</v>
      </c>
      <c r="L86" s="41">
        <v>0.78507377439314607</v>
      </c>
      <c r="M86" s="41">
        <v>0.7868415077202543</v>
      </c>
      <c r="N86" s="41">
        <v>0.79589778716441195</v>
      </c>
      <c r="O86" s="41">
        <v>0.84512499227170623</v>
      </c>
      <c r="P86" s="41">
        <v>0.82842071267090112</v>
      </c>
      <c r="Q86" s="41">
        <v>0.81065498154981552</v>
      </c>
      <c r="R86" s="41">
        <v>0.82455948541336399</v>
      </c>
      <c r="S86" s="41">
        <v>0.83730988508212245</v>
      </c>
      <c r="T86" s="89">
        <f t="shared" si="21"/>
        <v>7.0184752832435082</v>
      </c>
      <c r="U86" s="89">
        <f t="shared" si="22"/>
        <v>-0.78151071895837809</v>
      </c>
      <c r="V86" s="89">
        <f t="shared" si="23"/>
        <v>1.2750399668758461</v>
      </c>
      <c r="W86" s="148"/>
      <c r="X86" s="148"/>
      <c r="Y86" s="148"/>
    </row>
    <row r="87" spans="1:25" x14ac:dyDescent="0.25">
      <c r="A87" s="81" t="s">
        <v>96</v>
      </c>
      <c r="B87" s="40">
        <v>0.74646289375333685</v>
      </c>
      <c r="C87" s="40">
        <v>0.74963747863351726</v>
      </c>
      <c r="D87" s="40">
        <v>0.76462797157280493</v>
      </c>
      <c r="E87" s="40">
        <v>0.78328907697839734</v>
      </c>
      <c r="F87" s="40">
        <v>0.74490335064810309</v>
      </c>
      <c r="G87" s="40">
        <v>0.74557350235125741</v>
      </c>
      <c r="H87" s="40">
        <v>0.74931480655236149</v>
      </c>
      <c r="I87" s="40">
        <v>0.76204896201977457</v>
      </c>
      <c r="J87" s="40">
        <v>0.76845323923455378</v>
      </c>
      <c r="K87" s="40">
        <v>0.77914238569668104</v>
      </c>
      <c r="L87" s="40">
        <v>0.78736286666147959</v>
      </c>
      <c r="M87" s="40">
        <v>0.78895438417935349</v>
      </c>
      <c r="N87" s="40">
        <v>0.79652944646685564</v>
      </c>
      <c r="O87" s="40">
        <v>0.85034322128356299</v>
      </c>
      <c r="P87" s="40">
        <v>0.83126862410107671</v>
      </c>
      <c r="Q87" s="40">
        <v>0.81614614024749554</v>
      </c>
      <c r="R87" s="40">
        <v>0.82641480796694011</v>
      </c>
      <c r="S87" s="40">
        <v>0.83978909896900289</v>
      </c>
      <c r="T87" s="90">
        <f t="shared" si="21"/>
        <v>7.1335859734449114</v>
      </c>
      <c r="U87" s="90">
        <f t="shared" si="22"/>
        <v>-1.0554122314560099</v>
      </c>
      <c r="V87" s="90">
        <f t="shared" si="23"/>
        <v>1.3374291002062777</v>
      </c>
      <c r="W87" s="148"/>
      <c r="X87" s="148"/>
      <c r="Y87" s="148"/>
    </row>
    <row r="88" spans="1:25" x14ac:dyDescent="0.25">
      <c r="A88" s="117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T88" s="114"/>
      <c r="U88" s="114"/>
      <c r="V88" s="114"/>
      <c r="W88" s="148"/>
      <c r="X88" s="148"/>
      <c r="Y88" s="148"/>
    </row>
    <row r="89" spans="1:25" ht="18" x14ac:dyDescent="0.25">
      <c r="A89" s="11" t="s">
        <v>458</v>
      </c>
      <c r="B89" s="11"/>
      <c r="C89" s="11"/>
      <c r="D89" s="11"/>
      <c r="E89" s="11"/>
      <c r="F89" s="11"/>
      <c r="G89" s="11"/>
      <c r="W89" s="148"/>
      <c r="X89" s="148"/>
      <c r="Y89" s="148"/>
    </row>
    <row r="90" spans="1:25" ht="45" customHeight="1" x14ac:dyDescent="0.25">
      <c r="A90" s="14" t="s">
        <v>335</v>
      </c>
      <c r="B90" s="38">
        <v>2007</v>
      </c>
      <c r="C90" s="38">
        <v>2008</v>
      </c>
      <c r="D90" s="38">
        <v>2009</v>
      </c>
      <c r="E90" s="38">
        <v>2010</v>
      </c>
      <c r="F90" s="38">
        <v>2011</v>
      </c>
      <c r="G90" s="38">
        <v>2012</v>
      </c>
      <c r="H90" s="38">
        <v>2013</v>
      </c>
      <c r="I90" s="38">
        <v>2014</v>
      </c>
      <c r="J90" s="38">
        <v>2015</v>
      </c>
      <c r="K90" s="38">
        <v>2016</v>
      </c>
      <c r="L90" s="38">
        <v>2017</v>
      </c>
      <c r="M90" s="38">
        <v>2018</v>
      </c>
      <c r="N90" s="38">
        <v>2019</v>
      </c>
      <c r="O90" s="38">
        <v>2020</v>
      </c>
      <c r="P90" s="38">
        <v>2021</v>
      </c>
      <c r="Q90" s="38">
        <v>2022</v>
      </c>
      <c r="R90" s="38">
        <v>2023</v>
      </c>
      <c r="S90" s="38">
        <v>2024</v>
      </c>
      <c r="T90" s="39" t="s">
        <v>373</v>
      </c>
      <c r="U90" s="39" t="s">
        <v>374</v>
      </c>
      <c r="V90" s="39" t="s">
        <v>375</v>
      </c>
      <c r="W90" s="148"/>
      <c r="X90" s="148"/>
      <c r="Y90" s="148"/>
    </row>
    <row r="91" spans="1:25" x14ac:dyDescent="0.25">
      <c r="A91" s="81" t="s">
        <v>77</v>
      </c>
      <c r="B91" s="40">
        <v>0.68992982423868954</v>
      </c>
      <c r="C91" s="40">
        <v>0.71903813342074518</v>
      </c>
      <c r="D91" s="40">
        <v>0.73385453084785102</v>
      </c>
      <c r="E91" s="40">
        <v>0.73850835935338521</v>
      </c>
      <c r="F91" s="40">
        <v>0.71561944372891362</v>
      </c>
      <c r="G91" s="40">
        <v>0.71271665020064157</v>
      </c>
      <c r="H91" s="40">
        <v>0.72255955995285204</v>
      </c>
      <c r="I91" s="40">
        <v>0.72979178688209267</v>
      </c>
      <c r="J91" s="40">
        <v>0.74156592849994785</v>
      </c>
      <c r="K91" s="40">
        <v>0.75528529073637074</v>
      </c>
      <c r="L91" s="40">
        <v>0.76379071653788211</v>
      </c>
      <c r="M91" s="40">
        <v>0.77300077233022202</v>
      </c>
      <c r="N91" s="40">
        <v>0.7620676342490379</v>
      </c>
      <c r="O91" s="40">
        <v>0.79456460300031839</v>
      </c>
      <c r="P91" s="40">
        <v>0.78253229011425729</v>
      </c>
      <c r="Q91" s="40">
        <v>0.7787548820882978</v>
      </c>
      <c r="R91" s="40">
        <v>0.78080260981750604</v>
      </c>
      <c r="S91" s="40">
        <v>0.79021778533783216</v>
      </c>
      <c r="T91" s="90">
        <f t="shared" ref="T91:T113" si="24">(S91-J91)*100</f>
        <v>4.8651856837884306</v>
      </c>
      <c r="U91" s="90">
        <f t="shared" ref="U91:U113" si="25">(S91-O91)*100</f>
        <v>-0.43468176624862354</v>
      </c>
      <c r="V91" s="90">
        <f t="shared" ref="V91:V113" si="26">(S91-R91)*100</f>
        <v>0.94151755203261134</v>
      </c>
      <c r="W91" s="148"/>
      <c r="X91" s="148"/>
      <c r="Y91" s="148"/>
    </row>
    <row r="92" spans="1:25" x14ac:dyDescent="0.25">
      <c r="A92" s="84" t="s">
        <v>5</v>
      </c>
      <c r="B92" s="41">
        <v>0.65843179377013961</v>
      </c>
      <c r="C92" s="41">
        <v>0.67766486486486488</v>
      </c>
      <c r="D92" s="41">
        <v>0.69419007910220942</v>
      </c>
      <c r="E92" s="41">
        <v>0.69230499192585837</v>
      </c>
      <c r="F92" s="41">
        <v>0.68575391321577173</v>
      </c>
      <c r="G92" s="41">
        <v>0.69550802834297598</v>
      </c>
      <c r="H92" s="41">
        <v>0.70879836309523814</v>
      </c>
      <c r="I92" s="41">
        <v>0.71981292517006801</v>
      </c>
      <c r="J92" s="41">
        <v>0.7353564654691509</v>
      </c>
      <c r="K92" s="41">
        <v>0.74152531053826631</v>
      </c>
      <c r="L92" s="41">
        <v>0.74543422559014338</v>
      </c>
      <c r="M92" s="41">
        <v>0.75963548646475476</v>
      </c>
      <c r="N92" s="41">
        <v>0.7423447901100394</v>
      </c>
      <c r="O92" s="41">
        <v>0.76605360617663676</v>
      </c>
      <c r="P92" s="41">
        <v>0.74755468611061715</v>
      </c>
      <c r="Q92" s="41">
        <v>0.75185196383757147</v>
      </c>
      <c r="R92" s="41">
        <v>0.75524253946307174</v>
      </c>
      <c r="S92" s="41">
        <v>0.75839406022274169</v>
      </c>
      <c r="T92" s="89">
        <f t="shared" si="24"/>
        <v>2.3037594753590795</v>
      </c>
      <c r="U92" s="89">
        <f t="shared" si="25"/>
        <v>-0.76595459538950639</v>
      </c>
      <c r="V92" s="89">
        <f t="shared" si="26"/>
        <v>0.31515207596699568</v>
      </c>
      <c r="W92" s="148"/>
      <c r="X92" s="148"/>
      <c r="Y92" s="148"/>
    </row>
    <row r="93" spans="1:25" x14ac:dyDescent="0.25">
      <c r="A93" s="84" t="s">
        <v>6</v>
      </c>
      <c r="B93" s="41">
        <v>0.75887066005341475</v>
      </c>
      <c r="C93" s="41">
        <v>0.73018607856650586</v>
      </c>
      <c r="D93" s="41">
        <v>0.75545996029119789</v>
      </c>
      <c r="E93" s="41">
        <v>0.75890313390313391</v>
      </c>
      <c r="F93" s="41">
        <v>0.73888694434721736</v>
      </c>
      <c r="G93" s="41">
        <v>0.75539059738423475</v>
      </c>
      <c r="H93" s="41">
        <v>0.72531293463143254</v>
      </c>
      <c r="I93" s="41">
        <v>0.7420240137221269</v>
      </c>
      <c r="J93" s="41">
        <v>0.76479654747225645</v>
      </c>
      <c r="K93" s="41">
        <v>0.78056251740462268</v>
      </c>
      <c r="L93" s="41">
        <v>0.77352555701179559</v>
      </c>
      <c r="M93" s="41">
        <v>0.78848470248132985</v>
      </c>
      <c r="N93" s="41">
        <v>0.77825526428878389</v>
      </c>
      <c r="O93" s="41">
        <v>0.80537325676784255</v>
      </c>
      <c r="P93" s="41">
        <v>0.81251120272450261</v>
      </c>
      <c r="Q93" s="41">
        <v>0.81565924354895725</v>
      </c>
      <c r="R93" s="41">
        <v>0.81778048409194704</v>
      </c>
      <c r="S93" s="41">
        <v>0.8405881496578832</v>
      </c>
      <c r="T93" s="89">
        <f t="shared" si="24"/>
        <v>7.5791602185626754</v>
      </c>
      <c r="U93" s="89">
        <f t="shared" si="25"/>
        <v>3.521489289004065</v>
      </c>
      <c r="V93" s="89">
        <f t="shared" si="26"/>
        <v>2.2807665565936164</v>
      </c>
      <c r="W93" s="148"/>
      <c r="X93" s="148"/>
      <c r="Y93" s="148"/>
    </row>
    <row r="94" spans="1:25" x14ac:dyDescent="0.25">
      <c r="A94" s="84" t="s">
        <v>7</v>
      </c>
      <c r="B94" s="41">
        <v>0.68562535370684774</v>
      </c>
      <c r="C94" s="41">
        <v>0.68648648648648647</v>
      </c>
      <c r="D94" s="41">
        <v>0.69930843706777313</v>
      </c>
      <c r="E94" s="41">
        <v>0.7021276595744681</v>
      </c>
      <c r="F94" s="41">
        <v>0.68552789242444412</v>
      </c>
      <c r="G94" s="41">
        <v>0.69335088874259376</v>
      </c>
      <c r="H94" s="41">
        <v>0.69753390875462395</v>
      </c>
      <c r="I94" s="41">
        <v>0.71245302578722303</v>
      </c>
      <c r="J94" s="41">
        <v>0.72601372426699939</v>
      </c>
      <c r="K94" s="41">
        <v>0.74960610835050301</v>
      </c>
      <c r="L94" s="41">
        <v>0.76862105140459258</v>
      </c>
      <c r="M94" s="41">
        <v>0.7557583659278575</v>
      </c>
      <c r="N94" s="41">
        <v>0.72654517404300456</v>
      </c>
      <c r="O94" s="41">
        <v>0.75393514128579553</v>
      </c>
      <c r="P94" s="41">
        <v>0.7703389047926863</v>
      </c>
      <c r="Q94" s="41">
        <v>0.7827756445419638</v>
      </c>
      <c r="R94" s="41">
        <v>0.78466076696165188</v>
      </c>
      <c r="S94" s="41">
        <v>0.78154943177597858</v>
      </c>
      <c r="T94" s="89">
        <f t="shared" si="24"/>
        <v>5.5535707508979186</v>
      </c>
      <c r="U94" s="89">
        <f t="shared" si="25"/>
        <v>2.7614290490183047</v>
      </c>
      <c r="V94" s="89">
        <f t="shared" si="26"/>
        <v>-0.31113351856733029</v>
      </c>
      <c r="W94" s="148"/>
      <c r="X94" s="148"/>
      <c r="Y94" s="148"/>
    </row>
    <row r="95" spans="1:25" x14ac:dyDescent="0.25">
      <c r="A95" s="84" t="s">
        <v>8</v>
      </c>
      <c r="B95" s="41">
        <v>0.67404426559356134</v>
      </c>
      <c r="C95" s="41">
        <v>0.63978699125142635</v>
      </c>
      <c r="D95" s="41">
        <v>0.64014251781472686</v>
      </c>
      <c r="E95" s="41">
        <v>0.67883784844915585</v>
      </c>
      <c r="F95" s="41">
        <v>0.62657695542472669</v>
      </c>
      <c r="G95" s="41">
        <v>0.6475031472933277</v>
      </c>
      <c r="H95" s="41">
        <v>0.66304347826086951</v>
      </c>
      <c r="I95" s="41">
        <v>0.68894860597917362</v>
      </c>
      <c r="J95" s="41">
        <v>0.66092943201376941</v>
      </c>
      <c r="K95" s="41">
        <v>0.67094758764317941</v>
      </c>
      <c r="L95" s="41">
        <v>0.69845928099779897</v>
      </c>
      <c r="M95" s="41">
        <v>0.71729217818309365</v>
      </c>
      <c r="N95" s="41">
        <v>0.6921173559561683</v>
      </c>
      <c r="O95" s="41">
        <v>0.75615942028985506</v>
      </c>
      <c r="P95" s="41">
        <v>0.71604477611940298</v>
      </c>
      <c r="Q95" s="41">
        <v>0.69975186104218368</v>
      </c>
      <c r="R95" s="41">
        <v>0.70168519182502687</v>
      </c>
      <c r="S95" s="41">
        <v>0.75331935709294195</v>
      </c>
      <c r="T95" s="89">
        <f t="shared" si="24"/>
        <v>9.2389925079172546</v>
      </c>
      <c r="U95" s="89">
        <f t="shared" si="25"/>
        <v>-0.28400631969131007</v>
      </c>
      <c r="V95" s="89">
        <f t="shared" si="26"/>
        <v>5.1634165267915089</v>
      </c>
      <c r="W95" s="148"/>
      <c r="X95" s="148"/>
      <c r="Y95" s="148"/>
    </row>
    <row r="96" spans="1:25" x14ac:dyDescent="0.25">
      <c r="A96" s="84" t="s">
        <v>9</v>
      </c>
      <c r="B96" s="41">
        <v>0.74681252951361565</v>
      </c>
      <c r="C96" s="41">
        <v>0.74071757992652232</v>
      </c>
      <c r="D96" s="41">
        <v>0.75780530973451332</v>
      </c>
      <c r="E96" s="41">
        <v>0.76057870814928619</v>
      </c>
      <c r="F96" s="41">
        <v>0.73567757302243952</v>
      </c>
      <c r="G96" s="41">
        <v>0.72776848236970937</v>
      </c>
      <c r="H96" s="41">
        <v>0.74360230194685928</v>
      </c>
      <c r="I96" s="41">
        <v>0.74897194000967582</v>
      </c>
      <c r="J96" s="41">
        <v>0.74828110739275933</v>
      </c>
      <c r="K96" s="41">
        <v>0.75856978842053469</v>
      </c>
      <c r="L96" s="41">
        <v>0.7673379225315935</v>
      </c>
      <c r="M96" s="41">
        <v>0.78058517358128254</v>
      </c>
      <c r="N96" s="41">
        <v>0.77564226385937807</v>
      </c>
      <c r="O96" s="41">
        <v>0.80103814947336593</v>
      </c>
      <c r="P96" s="41">
        <v>0.79032036298638797</v>
      </c>
      <c r="Q96" s="41">
        <v>0.79278441582593329</v>
      </c>
      <c r="R96" s="41">
        <v>0.79952912452040459</v>
      </c>
      <c r="S96" s="41">
        <v>0.81704570545374255</v>
      </c>
      <c r="T96" s="89">
        <f t="shared" si="24"/>
        <v>6.8764598060983229</v>
      </c>
      <c r="U96" s="89">
        <f t="shared" si="25"/>
        <v>1.600755598037662</v>
      </c>
      <c r="V96" s="89">
        <f t="shared" si="26"/>
        <v>1.7516580933337966</v>
      </c>
      <c r="W96" s="148"/>
      <c r="X96" s="148"/>
      <c r="Y96" s="148"/>
    </row>
    <row r="97" spans="1:25" x14ac:dyDescent="0.25">
      <c r="A97" s="84" t="s">
        <v>10</v>
      </c>
      <c r="B97" s="41">
        <v>0.46078525487184407</v>
      </c>
      <c r="C97" s="41">
        <v>0.70087666263603388</v>
      </c>
      <c r="D97" s="41">
        <v>0.71634992932307207</v>
      </c>
      <c r="E97" s="41">
        <v>0.71913477537437609</v>
      </c>
      <c r="F97" s="41">
        <v>0.71762589928057552</v>
      </c>
      <c r="G97" s="41">
        <v>0.71472510572856596</v>
      </c>
      <c r="H97" s="41">
        <v>0.74471299093655585</v>
      </c>
      <c r="I97" s="41">
        <v>0.74018887722980065</v>
      </c>
      <c r="J97" s="41">
        <v>0.75974576271186445</v>
      </c>
      <c r="K97" s="41">
        <v>0.7695539107821564</v>
      </c>
      <c r="L97" s="41">
        <v>0.76380881532453038</v>
      </c>
      <c r="M97" s="41">
        <v>0.77603501732628122</v>
      </c>
      <c r="N97" s="41">
        <v>0.77665505226480835</v>
      </c>
      <c r="O97" s="41">
        <v>0.83730762726196517</v>
      </c>
      <c r="P97" s="41">
        <v>0.79804354686020829</v>
      </c>
      <c r="Q97" s="41">
        <v>0.78825890617160055</v>
      </c>
      <c r="R97" s="41">
        <v>0.8036714374611077</v>
      </c>
      <c r="S97" s="41">
        <v>0.82504288164665518</v>
      </c>
      <c r="T97" s="89">
        <f t="shared" si="24"/>
        <v>6.5297118934790728</v>
      </c>
      <c r="U97" s="89">
        <f t="shared" si="25"/>
        <v>-1.2264745615309991</v>
      </c>
      <c r="V97" s="89">
        <f t="shared" si="26"/>
        <v>2.1371444185547483</v>
      </c>
      <c r="W97" s="148"/>
      <c r="X97" s="148"/>
      <c r="Y97" s="148"/>
    </row>
    <row r="98" spans="1:25" x14ac:dyDescent="0.25">
      <c r="A98" s="84" t="s">
        <v>11</v>
      </c>
      <c r="B98" s="41">
        <v>0.74337391652888418</v>
      </c>
      <c r="C98" s="41">
        <v>0.74448859873214113</v>
      </c>
      <c r="D98" s="41">
        <v>0.75005125261388328</v>
      </c>
      <c r="E98" s="41">
        <v>0.76050449690837552</v>
      </c>
      <c r="F98" s="41">
        <v>0.73920637138465839</v>
      </c>
      <c r="G98" s="41">
        <v>0.71817894847602681</v>
      </c>
      <c r="H98" s="41">
        <v>0.73376475930971841</v>
      </c>
      <c r="I98" s="41">
        <v>0.74138414121602692</v>
      </c>
      <c r="J98" s="41">
        <v>0.75294638188327101</v>
      </c>
      <c r="K98" s="41">
        <v>0.77728965003723005</v>
      </c>
      <c r="L98" s="41">
        <v>0.77438307873090484</v>
      </c>
      <c r="M98" s="41">
        <v>0.78654960962369735</v>
      </c>
      <c r="N98" s="41">
        <v>0.77320028510334993</v>
      </c>
      <c r="O98" s="41">
        <v>0.7896359777341716</v>
      </c>
      <c r="P98" s="41">
        <v>0.78629336349924583</v>
      </c>
      <c r="Q98" s="41">
        <v>0.77318339972769901</v>
      </c>
      <c r="R98" s="41">
        <v>0.77330650570087189</v>
      </c>
      <c r="S98" s="41">
        <v>0.78447744005264675</v>
      </c>
      <c r="T98" s="89">
        <f t="shared" si="24"/>
        <v>3.1531058169375736</v>
      </c>
      <c r="U98" s="89">
        <f t="shared" si="25"/>
        <v>-0.51585376815248551</v>
      </c>
      <c r="V98" s="89">
        <f t="shared" si="26"/>
        <v>1.1170934351774853</v>
      </c>
      <c r="W98" s="148"/>
      <c r="X98" s="148"/>
      <c r="Y98" s="148"/>
    </row>
    <row r="99" spans="1:25" x14ac:dyDescent="0.25">
      <c r="A99" s="84" t="s">
        <v>12</v>
      </c>
      <c r="B99" s="41">
        <v>0.66994219653179188</v>
      </c>
      <c r="C99" s="41">
        <v>0.57463976945244954</v>
      </c>
      <c r="D99" s="41">
        <v>0.65796344647519578</v>
      </c>
      <c r="E99" s="41">
        <v>0.68652979469203801</v>
      </c>
      <c r="F99" s="41">
        <v>0.63469184890656061</v>
      </c>
      <c r="G99" s="41">
        <v>0.65572088250384808</v>
      </c>
      <c r="H99" s="41">
        <v>0.68700000000000006</v>
      </c>
      <c r="I99" s="41">
        <v>0.69038565996740897</v>
      </c>
      <c r="J99" s="41">
        <v>0.70965940815187045</v>
      </c>
      <c r="K99" s="41">
        <v>0.71042253521126764</v>
      </c>
      <c r="L99" s="41">
        <v>0.73561882626380015</v>
      </c>
      <c r="M99" s="41">
        <v>0.70694864048338368</v>
      </c>
      <c r="N99" s="41">
        <v>0.69961977186311786</v>
      </c>
      <c r="O99" s="41">
        <v>0.80073260073260077</v>
      </c>
      <c r="P99" s="41">
        <v>0.77507163323782235</v>
      </c>
      <c r="Q99" s="41">
        <v>0.75667090216010169</v>
      </c>
      <c r="R99" s="41">
        <v>0.77884615384615385</v>
      </c>
      <c r="S99" s="41">
        <v>0.74968394437420982</v>
      </c>
      <c r="T99" s="89">
        <f t="shared" si="24"/>
        <v>4.0024536222339364</v>
      </c>
      <c r="U99" s="89">
        <f t="shared" si="25"/>
        <v>-5.1048656358390954</v>
      </c>
      <c r="V99" s="89">
        <f t="shared" si="26"/>
        <v>-2.9162209471944034</v>
      </c>
      <c r="W99" s="148"/>
      <c r="X99" s="148"/>
      <c r="Y99" s="148"/>
    </row>
    <row r="100" spans="1:25" x14ac:dyDescent="0.25">
      <c r="A100" s="84" t="s">
        <v>13</v>
      </c>
      <c r="B100" s="41">
        <v>0.73404647731464401</v>
      </c>
      <c r="C100" s="41">
        <v>0.75813251979570151</v>
      </c>
      <c r="D100" s="41">
        <v>0.77003038995711326</v>
      </c>
      <c r="E100" s="41">
        <v>0.77273365141734496</v>
      </c>
      <c r="F100" s="41">
        <v>0.73782563092664344</v>
      </c>
      <c r="G100" s="41">
        <v>0.73069302843934458</v>
      </c>
      <c r="H100" s="41">
        <v>0.75097595599325706</v>
      </c>
      <c r="I100" s="41">
        <v>0.75513203110869953</v>
      </c>
      <c r="J100" s="41">
        <v>0.77124657130551089</v>
      </c>
      <c r="K100" s="41">
        <v>0.77621049776210493</v>
      </c>
      <c r="L100" s="41">
        <v>0.78659749045779714</v>
      </c>
      <c r="M100" s="41">
        <v>0.79294804436660826</v>
      </c>
      <c r="N100" s="41">
        <v>0.7875220285882123</v>
      </c>
      <c r="O100" s="41">
        <v>0.82804287333814286</v>
      </c>
      <c r="P100" s="41">
        <v>0.81558875299002576</v>
      </c>
      <c r="Q100" s="41">
        <v>0.8070730240741153</v>
      </c>
      <c r="R100" s="41">
        <v>0.80530481283422461</v>
      </c>
      <c r="S100" s="41">
        <v>0.81649457587243501</v>
      </c>
      <c r="T100" s="89">
        <f t="shared" si="24"/>
        <v>4.5248004566924127</v>
      </c>
      <c r="U100" s="89">
        <f t="shared" si="25"/>
        <v>-1.1548297465707846</v>
      </c>
      <c r="V100" s="89">
        <f t="shared" si="26"/>
        <v>1.1189763038210399</v>
      </c>
      <c r="W100" s="148"/>
      <c r="X100" s="148"/>
      <c r="Y100" s="148"/>
    </row>
    <row r="101" spans="1:25" x14ac:dyDescent="0.25">
      <c r="A101" s="84" t="s">
        <v>14</v>
      </c>
      <c r="B101" s="41">
        <v>0.71183784348552925</v>
      </c>
      <c r="C101" s="41">
        <v>0.70036906703287272</v>
      </c>
      <c r="D101" s="41">
        <v>0.71160995138690308</v>
      </c>
      <c r="E101" s="41">
        <v>0.70458822765916018</v>
      </c>
      <c r="F101" s="41">
        <v>0.68056520731989811</v>
      </c>
      <c r="G101" s="41">
        <v>0.68999404407385345</v>
      </c>
      <c r="H101" s="41">
        <v>0.68083321173208811</v>
      </c>
      <c r="I101" s="41">
        <v>0.68469867048801847</v>
      </c>
      <c r="J101" s="41">
        <v>0.68307471950346144</v>
      </c>
      <c r="K101" s="41">
        <v>0.70487934391409524</v>
      </c>
      <c r="L101" s="41">
        <v>0.72724784453263991</v>
      </c>
      <c r="M101" s="41">
        <v>0.73246622592699051</v>
      </c>
      <c r="N101" s="41">
        <v>0.73371904325125237</v>
      </c>
      <c r="O101" s="41">
        <v>0.78101626956588788</v>
      </c>
      <c r="P101" s="41">
        <v>0.74602086665143552</v>
      </c>
      <c r="Q101" s="41">
        <v>0.73167965981573357</v>
      </c>
      <c r="R101" s="41">
        <v>0.73623348017621149</v>
      </c>
      <c r="S101" s="41">
        <v>0.74786890453751254</v>
      </c>
      <c r="T101" s="89">
        <f t="shared" si="24"/>
        <v>6.4794185034051104</v>
      </c>
      <c r="U101" s="89">
        <f t="shared" si="25"/>
        <v>-3.3147365028375342</v>
      </c>
      <c r="V101" s="89">
        <f t="shared" si="26"/>
        <v>1.163542436130105</v>
      </c>
      <c r="W101" s="148"/>
      <c r="X101" s="148"/>
      <c r="Y101" s="148"/>
    </row>
    <row r="102" spans="1:25" x14ac:dyDescent="0.25">
      <c r="A102" s="81" t="s">
        <v>78</v>
      </c>
      <c r="B102" s="40">
        <v>0.64428964220771801</v>
      </c>
      <c r="C102" s="40">
        <v>0.66332661938694337</v>
      </c>
      <c r="D102" s="40">
        <v>0.68349030212607231</v>
      </c>
      <c r="E102" s="40">
        <v>0.68275976701826313</v>
      </c>
      <c r="F102" s="40">
        <v>0.65207301673355245</v>
      </c>
      <c r="G102" s="40">
        <v>0.66487253058936047</v>
      </c>
      <c r="H102" s="40">
        <v>0.66545982971799755</v>
      </c>
      <c r="I102" s="40">
        <v>0.6742567994939912</v>
      </c>
      <c r="J102" s="40">
        <v>0.68074133457899089</v>
      </c>
      <c r="K102" s="40">
        <v>0.69027902618141479</v>
      </c>
      <c r="L102" s="40">
        <v>0.71390284314825692</v>
      </c>
      <c r="M102" s="40">
        <v>0.72174052450869064</v>
      </c>
      <c r="N102" s="40">
        <v>0.70658595385063716</v>
      </c>
      <c r="O102" s="40">
        <v>0.71185353156056552</v>
      </c>
      <c r="P102" s="40">
        <v>0.72377112275942967</v>
      </c>
      <c r="Q102" s="40">
        <v>0.7380029251062421</v>
      </c>
      <c r="R102" s="40">
        <v>0.74727599106223797</v>
      </c>
      <c r="S102" s="40">
        <v>0.75399570980421327</v>
      </c>
      <c r="T102" s="90">
        <f t="shared" si="24"/>
        <v>7.3254375225222379</v>
      </c>
      <c r="U102" s="90">
        <f t="shared" si="25"/>
        <v>4.2142178243647743</v>
      </c>
      <c r="V102" s="90">
        <f t="shared" si="26"/>
        <v>0.67197187419753002</v>
      </c>
      <c r="W102" s="148"/>
      <c r="X102" s="148"/>
      <c r="Y102" s="148"/>
    </row>
    <row r="103" spans="1:25" x14ac:dyDescent="0.25">
      <c r="A103" s="84" t="s">
        <v>5</v>
      </c>
      <c r="B103" s="41">
        <v>0.61636024513722354</v>
      </c>
      <c r="C103" s="41">
        <v>0.62210250580734439</v>
      </c>
      <c r="D103" s="41">
        <v>0.64441918617867699</v>
      </c>
      <c r="E103" s="41">
        <v>0.65135597361348641</v>
      </c>
      <c r="F103" s="41">
        <v>0.62031480013588491</v>
      </c>
      <c r="G103" s="41">
        <v>0.64180716848643848</v>
      </c>
      <c r="H103" s="41">
        <v>0.65452672626273778</v>
      </c>
      <c r="I103" s="41">
        <v>0.65597310265121</v>
      </c>
      <c r="J103" s="41">
        <v>0.67384005908816225</v>
      </c>
      <c r="K103" s="41">
        <v>0.67846476456757954</v>
      </c>
      <c r="L103" s="41">
        <v>0.68712254042470289</v>
      </c>
      <c r="M103" s="41">
        <v>0.70153675848147423</v>
      </c>
      <c r="N103" s="41">
        <v>0.68043683167029612</v>
      </c>
      <c r="O103" s="41">
        <v>0.68884540117416826</v>
      </c>
      <c r="P103" s="41">
        <v>0.70437802969578989</v>
      </c>
      <c r="Q103" s="41">
        <v>0.71684765307205267</v>
      </c>
      <c r="R103" s="41">
        <v>0.73087605006000345</v>
      </c>
      <c r="S103" s="41">
        <v>0.73158391797085809</v>
      </c>
      <c r="T103" s="89">
        <f t="shared" si="24"/>
        <v>5.7743858882695847</v>
      </c>
      <c r="U103" s="89">
        <f t="shared" si="25"/>
        <v>4.2738516796689829</v>
      </c>
      <c r="V103" s="89">
        <f t="shared" si="26"/>
        <v>7.0786791085464262E-2</v>
      </c>
      <c r="W103" s="148"/>
      <c r="X103" s="148"/>
      <c r="Y103" s="148"/>
    </row>
    <row r="104" spans="1:25" x14ac:dyDescent="0.25">
      <c r="A104" s="84" t="s">
        <v>6</v>
      </c>
      <c r="B104" s="41">
        <v>0.721580547112462</v>
      </c>
      <c r="C104" s="41">
        <v>0.69487687517690344</v>
      </c>
      <c r="D104" s="41">
        <v>0.73942857142857144</v>
      </c>
      <c r="E104" s="41">
        <v>0.73509344408187483</v>
      </c>
      <c r="F104" s="41">
        <v>0.71854103343465048</v>
      </c>
      <c r="G104" s="41">
        <v>0.74358974358974361</v>
      </c>
      <c r="H104" s="41">
        <v>0.70888961250407034</v>
      </c>
      <c r="I104" s="41">
        <v>0.74495035946593635</v>
      </c>
      <c r="J104" s="41">
        <v>0.74409203980099503</v>
      </c>
      <c r="K104" s="41">
        <v>0.74537931034482763</v>
      </c>
      <c r="L104" s="41">
        <v>0.76773515501839207</v>
      </c>
      <c r="M104" s="41">
        <v>0.75077800829875518</v>
      </c>
      <c r="N104" s="41">
        <v>0.72788270377733599</v>
      </c>
      <c r="O104" s="41">
        <v>0.70268117865675606</v>
      </c>
      <c r="P104" s="41">
        <v>0.73505821474773614</v>
      </c>
      <c r="Q104" s="41">
        <v>0.77301587301587305</v>
      </c>
      <c r="R104" s="41">
        <v>0.7760505222249211</v>
      </c>
      <c r="S104" s="41">
        <v>0.76592244418331379</v>
      </c>
      <c r="T104" s="89">
        <f t="shared" si="24"/>
        <v>2.1830404382318758</v>
      </c>
      <c r="U104" s="89">
        <f t="shared" si="25"/>
        <v>6.3241265526557733</v>
      </c>
      <c r="V104" s="89">
        <f t="shared" si="26"/>
        <v>-1.0128078041607314</v>
      </c>
      <c r="W104" s="148"/>
      <c r="X104" s="148"/>
      <c r="Y104" s="148"/>
    </row>
    <row r="105" spans="1:25" x14ac:dyDescent="0.25">
      <c r="A105" s="84" t="s">
        <v>7</v>
      </c>
      <c r="B105" s="41">
        <v>0.63545502367175166</v>
      </c>
      <c r="C105" s="41">
        <v>0.63592167454422688</v>
      </c>
      <c r="D105" s="41">
        <v>0.65871656344709451</v>
      </c>
      <c r="E105" s="41">
        <v>0.63924528301886796</v>
      </c>
      <c r="F105" s="41">
        <v>0.62197197852559905</v>
      </c>
      <c r="G105" s="41">
        <v>0.64967215308443726</v>
      </c>
      <c r="H105" s="41">
        <v>0.64232689971656098</v>
      </c>
      <c r="I105" s="41">
        <v>0.64546202358102545</v>
      </c>
      <c r="J105" s="41">
        <v>0.67297668038408776</v>
      </c>
      <c r="K105" s="41">
        <v>0.68452798428952166</v>
      </c>
      <c r="L105" s="41">
        <v>0.71517730496453902</v>
      </c>
      <c r="M105" s="41">
        <v>0.72602928985907711</v>
      </c>
      <c r="N105" s="41">
        <v>0.70665947694796438</v>
      </c>
      <c r="O105" s="41">
        <v>0.71616963884309903</v>
      </c>
      <c r="P105" s="41">
        <v>0.74383831744988493</v>
      </c>
      <c r="Q105" s="41">
        <v>0.75490878707700881</v>
      </c>
      <c r="R105" s="41">
        <v>0.7670863309352518</v>
      </c>
      <c r="S105" s="41">
        <v>0.7341189218474875</v>
      </c>
      <c r="T105" s="89">
        <f t="shared" si="24"/>
        <v>6.1142241463399749</v>
      </c>
      <c r="U105" s="89">
        <f t="shared" si="25"/>
        <v>1.7949283004388472</v>
      </c>
      <c r="V105" s="89">
        <f t="shared" si="26"/>
        <v>-3.2967409087764299</v>
      </c>
      <c r="W105" s="148"/>
      <c r="X105" s="148"/>
      <c r="Y105" s="148"/>
    </row>
    <row r="106" spans="1:25" x14ac:dyDescent="0.25">
      <c r="A106" s="84" t="s">
        <v>8</v>
      </c>
      <c r="B106" s="41">
        <v>0.68541666666666667</v>
      </c>
      <c r="C106" s="41">
        <v>0.67743271221532086</v>
      </c>
      <c r="D106" s="41">
        <v>0.69746886299718758</v>
      </c>
      <c r="E106" s="41">
        <v>0.70616287600880412</v>
      </c>
      <c r="F106" s="41">
        <v>0.64233308877476158</v>
      </c>
      <c r="G106" s="41">
        <v>0.668259385665529</v>
      </c>
      <c r="H106" s="41">
        <v>0.66704577765140749</v>
      </c>
      <c r="I106" s="41">
        <v>0.69550466497031382</v>
      </c>
      <c r="J106" s="41">
        <v>0.70205380387619321</v>
      </c>
      <c r="K106" s="41">
        <v>0.69903516962340495</v>
      </c>
      <c r="L106" s="41">
        <v>0.74035317200784823</v>
      </c>
      <c r="M106" s="41">
        <v>0.76230613621038434</v>
      </c>
      <c r="N106" s="41">
        <v>0.750396951413147</v>
      </c>
      <c r="O106" s="41">
        <v>0.77946399741685501</v>
      </c>
      <c r="P106" s="41">
        <v>0.77471092875792613</v>
      </c>
      <c r="Q106" s="41">
        <v>0.73598049460118431</v>
      </c>
      <c r="R106" s="41">
        <v>0.74386406544996853</v>
      </c>
      <c r="S106" s="41">
        <v>0.77888687235329701</v>
      </c>
      <c r="T106" s="89">
        <f t="shared" si="24"/>
        <v>7.6833068477103801</v>
      </c>
      <c r="U106" s="89">
        <f t="shared" si="25"/>
        <v>-5.7712506355800386E-2</v>
      </c>
      <c r="V106" s="89">
        <f t="shared" si="26"/>
        <v>3.5022806903328485</v>
      </c>
      <c r="W106" s="148"/>
      <c r="X106" s="148"/>
      <c r="Y106" s="148"/>
    </row>
    <row r="107" spans="1:25" x14ac:dyDescent="0.25">
      <c r="A107" s="84" t="s">
        <v>9</v>
      </c>
      <c r="B107" s="41">
        <v>0.71514242878560719</v>
      </c>
      <c r="C107" s="41">
        <v>0.71532211259431222</v>
      </c>
      <c r="D107" s="41">
        <v>0.71846215458550255</v>
      </c>
      <c r="E107" s="41">
        <v>0.71660019940179465</v>
      </c>
      <c r="F107" s="41">
        <v>0.67918507609229262</v>
      </c>
      <c r="G107" s="41">
        <v>0.69695114485123055</v>
      </c>
      <c r="H107" s="41">
        <v>0.69959504233648295</v>
      </c>
      <c r="I107" s="41">
        <v>0.7189155884165126</v>
      </c>
      <c r="J107" s="41">
        <v>0.72327502429543244</v>
      </c>
      <c r="K107" s="41">
        <v>0.72978648932446621</v>
      </c>
      <c r="L107" s="41">
        <v>0.74523435747925548</v>
      </c>
      <c r="M107" s="41">
        <v>0.73594603276582071</v>
      </c>
      <c r="N107" s="41">
        <v>0.74481591197630126</v>
      </c>
      <c r="O107" s="41">
        <v>0.76610131914421908</v>
      </c>
      <c r="P107" s="41">
        <v>0.7751852261417671</v>
      </c>
      <c r="Q107" s="41">
        <v>0.77766666666666662</v>
      </c>
      <c r="R107" s="41">
        <v>0.7819487179487179</v>
      </c>
      <c r="S107" s="41">
        <v>0.80048713332627341</v>
      </c>
      <c r="T107" s="89">
        <f t="shared" si="24"/>
        <v>7.7212109030840974</v>
      </c>
      <c r="U107" s="89">
        <f t="shared" si="25"/>
        <v>3.4385814182054331</v>
      </c>
      <c r="V107" s="89">
        <f t="shared" si="26"/>
        <v>1.8538415377555517</v>
      </c>
      <c r="W107" s="148"/>
      <c r="X107" s="148"/>
      <c r="Y107" s="148"/>
    </row>
    <row r="108" spans="1:25" x14ac:dyDescent="0.25">
      <c r="A108" s="84" t="s">
        <v>10</v>
      </c>
      <c r="B108" s="41">
        <v>0.45542082738944367</v>
      </c>
      <c r="C108" s="41">
        <v>0.66769494430162812</v>
      </c>
      <c r="D108" s="41">
        <v>0.69430051813471505</v>
      </c>
      <c r="E108" s="41">
        <v>0.71306761848106281</v>
      </c>
      <c r="F108" s="41">
        <v>0.69493985897967647</v>
      </c>
      <c r="G108" s="41">
        <v>0.71047835990888386</v>
      </c>
      <c r="H108" s="41">
        <v>0.72265526778979128</v>
      </c>
      <c r="I108" s="41">
        <v>0.71128346259694775</v>
      </c>
      <c r="J108" s="41">
        <v>0.73506623344163957</v>
      </c>
      <c r="K108" s="41">
        <v>0.72995049504950493</v>
      </c>
      <c r="L108" s="41">
        <v>0.75362318840579712</v>
      </c>
      <c r="M108" s="41">
        <v>0.76912691269126909</v>
      </c>
      <c r="N108" s="41">
        <v>0.76072386058981234</v>
      </c>
      <c r="O108" s="41">
        <v>0.80384795870483339</v>
      </c>
      <c r="P108" s="41">
        <v>0.78298727394507706</v>
      </c>
      <c r="Q108" s="41">
        <v>0.77969174977334543</v>
      </c>
      <c r="R108" s="41">
        <v>0.80521920668058455</v>
      </c>
      <c r="S108" s="41">
        <v>0.81880341880341878</v>
      </c>
      <c r="T108" s="89">
        <f t="shared" si="24"/>
        <v>8.3737185361779218</v>
      </c>
      <c r="U108" s="89">
        <f t="shared" si="25"/>
        <v>1.4955460098585394</v>
      </c>
      <c r="V108" s="89">
        <f t="shared" si="26"/>
        <v>1.3584212122834227</v>
      </c>
      <c r="W108" s="148"/>
      <c r="X108" s="148"/>
      <c r="Y108" s="148"/>
    </row>
    <row r="109" spans="1:25" x14ac:dyDescent="0.25">
      <c r="A109" s="84" t="s">
        <v>11</v>
      </c>
      <c r="B109" s="41">
        <v>0.69004320305435551</v>
      </c>
      <c r="C109" s="41">
        <v>0.70726236096831474</v>
      </c>
      <c r="D109" s="41">
        <v>0.73288814691151916</v>
      </c>
      <c r="E109" s="41">
        <v>0.71938456732271161</v>
      </c>
      <c r="F109" s="41">
        <v>0.69429126213592229</v>
      </c>
      <c r="G109" s="41">
        <v>0.68057377049180323</v>
      </c>
      <c r="H109" s="41">
        <v>0.68562121917170782</v>
      </c>
      <c r="I109" s="41">
        <v>0.69391537115206425</v>
      </c>
      <c r="J109" s="41">
        <v>0.68849449204406366</v>
      </c>
      <c r="K109" s="41">
        <v>0.71396895787139691</v>
      </c>
      <c r="L109" s="41">
        <v>0.74629014396456261</v>
      </c>
      <c r="M109" s="41">
        <v>0.74098326577278872</v>
      </c>
      <c r="N109" s="41">
        <v>0.71516726209808379</v>
      </c>
      <c r="O109" s="41">
        <v>0.71982116244411332</v>
      </c>
      <c r="P109" s="41">
        <v>0.75498839907192572</v>
      </c>
      <c r="Q109" s="41">
        <v>0.77218482252141984</v>
      </c>
      <c r="R109" s="41">
        <v>0.78543677152525382</v>
      </c>
      <c r="S109" s="41">
        <v>0.78061032274268494</v>
      </c>
      <c r="T109" s="89">
        <f t="shared" si="24"/>
        <v>9.2115830698621277</v>
      </c>
      <c r="U109" s="89">
        <f t="shared" si="25"/>
        <v>6.0789160298571616</v>
      </c>
      <c r="V109" s="89">
        <f t="shared" si="26"/>
        <v>-0.48264487825688818</v>
      </c>
      <c r="W109" s="148"/>
      <c r="X109" s="148"/>
      <c r="Y109" s="148"/>
    </row>
    <row r="110" spans="1:25" x14ac:dyDescent="0.25">
      <c r="A110" s="84" t="s">
        <v>12</v>
      </c>
      <c r="B110" s="41">
        <v>0.64938737040527805</v>
      </c>
      <c r="C110" s="41">
        <v>0.55345316934720912</v>
      </c>
      <c r="D110" s="41">
        <v>0.61591695501730104</v>
      </c>
      <c r="E110" s="41">
        <v>0.66260472201066256</v>
      </c>
      <c r="F110" s="41">
        <v>0.63079340141398277</v>
      </c>
      <c r="G110" s="41">
        <v>0.63398692810457513</v>
      </c>
      <c r="H110" s="41">
        <v>0.63406682966585171</v>
      </c>
      <c r="I110" s="41">
        <v>0.64235500878734619</v>
      </c>
      <c r="J110" s="41">
        <v>0.66875559534467321</v>
      </c>
      <c r="K110" s="41">
        <v>0.66852886405959033</v>
      </c>
      <c r="L110" s="41">
        <v>0.6926333615580017</v>
      </c>
      <c r="M110" s="41">
        <v>0.66955017301038067</v>
      </c>
      <c r="N110" s="41">
        <v>0.66792809839167455</v>
      </c>
      <c r="O110" s="41">
        <v>0.73596938775510201</v>
      </c>
      <c r="P110" s="41">
        <v>0.72447724477244768</v>
      </c>
      <c r="Q110" s="41">
        <v>0.7191011235955056</v>
      </c>
      <c r="R110" s="41">
        <v>0.73612684031710074</v>
      </c>
      <c r="S110" s="41">
        <v>0.69820359281437128</v>
      </c>
      <c r="T110" s="89">
        <f t="shared" si="24"/>
        <v>2.9447997469698062</v>
      </c>
      <c r="U110" s="89">
        <f t="shared" si="25"/>
        <v>-3.7765794940730735</v>
      </c>
      <c r="V110" s="89">
        <f t="shared" si="26"/>
        <v>-3.7923247502729462</v>
      </c>
      <c r="W110" s="148"/>
      <c r="X110" s="148"/>
      <c r="Y110" s="148"/>
    </row>
    <row r="111" spans="1:25" x14ac:dyDescent="0.25">
      <c r="A111" s="84" t="s">
        <v>13</v>
      </c>
      <c r="B111" s="41">
        <v>0.73097128894318875</v>
      </c>
      <c r="C111" s="41">
        <v>0.74357672387529195</v>
      </c>
      <c r="D111" s="41">
        <v>0.76197930254804769</v>
      </c>
      <c r="E111" s="41">
        <v>0.75435300917563763</v>
      </c>
      <c r="F111" s="41">
        <v>0.71300570187347267</v>
      </c>
      <c r="G111" s="41">
        <v>0.70663058186738836</v>
      </c>
      <c r="H111" s="41">
        <v>0.72398677780971543</v>
      </c>
      <c r="I111" s="41">
        <v>0.73338115734098519</v>
      </c>
      <c r="J111" s="41">
        <v>0.73815080067594752</v>
      </c>
      <c r="K111" s="41">
        <v>0.74607858363099855</v>
      </c>
      <c r="L111" s="41">
        <v>0.76419649015250213</v>
      </c>
      <c r="M111" s="41">
        <v>0.76636110003985647</v>
      </c>
      <c r="N111" s="41">
        <v>0.76625832442653952</v>
      </c>
      <c r="O111" s="41">
        <v>0.780510961505265</v>
      </c>
      <c r="P111" s="41">
        <v>0.77587131367292228</v>
      </c>
      <c r="Q111" s="41">
        <v>0.78881129055725296</v>
      </c>
      <c r="R111" s="41">
        <v>0.79367609937558126</v>
      </c>
      <c r="S111" s="41">
        <v>0.81507957917453466</v>
      </c>
      <c r="T111" s="89">
        <f t="shared" si="24"/>
        <v>7.6928778498587143</v>
      </c>
      <c r="U111" s="89">
        <f t="shared" si="25"/>
        <v>3.4568617669269663</v>
      </c>
      <c r="V111" s="89">
        <f t="shared" si="26"/>
        <v>2.1403479798953406</v>
      </c>
      <c r="W111" s="148"/>
      <c r="X111" s="148"/>
      <c r="Y111" s="148"/>
    </row>
    <row r="112" spans="1:25" x14ac:dyDescent="0.25">
      <c r="A112" s="84" t="s">
        <v>14</v>
      </c>
      <c r="B112" s="41">
        <v>0.64816725266858954</v>
      </c>
      <c r="C112" s="41">
        <v>0.65065875890618163</v>
      </c>
      <c r="D112" s="41">
        <v>0.66764559305140259</v>
      </c>
      <c r="E112" s="41">
        <v>0.66761376797047511</v>
      </c>
      <c r="F112" s="41">
        <v>0.63817375860923808</v>
      </c>
      <c r="G112" s="41">
        <v>0.65388929392630812</v>
      </c>
      <c r="H112" s="41">
        <v>0.65117984187308298</v>
      </c>
      <c r="I112" s="41">
        <v>0.66279599271402545</v>
      </c>
      <c r="J112" s="41">
        <v>0.66356038286949814</v>
      </c>
      <c r="K112" s="41">
        <v>0.67367662561214825</v>
      </c>
      <c r="L112" s="41">
        <v>0.70196624424617837</v>
      </c>
      <c r="M112" s="41">
        <v>0.71185291125429428</v>
      </c>
      <c r="N112" s="41">
        <v>0.69521265073290495</v>
      </c>
      <c r="O112" s="41">
        <v>0.69050288150311834</v>
      </c>
      <c r="P112" s="41">
        <v>0.70169023368226113</v>
      </c>
      <c r="Q112" s="41">
        <v>0.72194750855838719</v>
      </c>
      <c r="R112" s="41">
        <v>0.72910576320735021</v>
      </c>
      <c r="S112" s="41">
        <v>0.73961776663247081</v>
      </c>
      <c r="T112" s="89">
        <f t="shared" si="24"/>
        <v>7.6057383762972659</v>
      </c>
      <c r="U112" s="89">
        <f t="shared" si="25"/>
        <v>4.9114885129352466</v>
      </c>
      <c r="V112" s="89">
        <f t="shared" si="26"/>
        <v>1.0512003425120597</v>
      </c>
      <c r="W112" s="148"/>
      <c r="X112" s="148"/>
      <c r="Y112" s="148"/>
    </row>
    <row r="113" spans="1:25" x14ac:dyDescent="0.25">
      <c r="A113" s="81" t="s">
        <v>96</v>
      </c>
      <c r="B113" s="40">
        <v>0.66658579105335991</v>
      </c>
      <c r="C113" s="40">
        <v>0.6912781111500006</v>
      </c>
      <c r="D113" s="40">
        <v>0.70922233792689326</v>
      </c>
      <c r="E113" s="40">
        <v>0.7113320616485761</v>
      </c>
      <c r="F113" s="40">
        <v>0.6846562721474132</v>
      </c>
      <c r="G113" s="40">
        <v>0.68973220651564271</v>
      </c>
      <c r="H113" s="40">
        <v>0.69461321726761271</v>
      </c>
      <c r="I113" s="40">
        <v>0.7024570399536062</v>
      </c>
      <c r="J113" s="40">
        <v>0.71157616916382926</v>
      </c>
      <c r="K113" s="40">
        <v>0.72363000835048441</v>
      </c>
      <c r="L113" s="40">
        <v>0.73983376445526472</v>
      </c>
      <c r="M113" s="40">
        <v>0.74877261002307971</v>
      </c>
      <c r="N113" s="40">
        <v>0.73562169704699432</v>
      </c>
      <c r="O113" s="40">
        <v>0.75559151532642077</v>
      </c>
      <c r="P113" s="40">
        <v>0.75558506614668253</v>
      </c>
      <c r="Q113" s="40">
        <v>0.75949903510144479</v>
      </c>
      <c r="R113" s="40">
        <v>0.76487132988940454</v>
      </c>
      <c r="S113" s="40">
        <v>0.77306330481553465</v>
      </c>
      <c r="T113" s="90">
        <f t="shared" si="24"/>
        <v>6.1487135651705387</v>
      </c>
      <c r="U113" s="90">
        <f t="shared" si="25"/>
        <v>1.7471789489113876</v>
      </c>
      <c r="V113" s="90">
        <f t="shared" si="26"/>
        <v>0.81919749261301078</v>
      </c>
      <c r="W113" s="148"/>
      <c r="X113" s="148"/>
      <c r="Y113" s="148"/>
    </row>
    <row r="114" spans="1:25" x14ac:dyDescent="0.25">
      <c r="A114" s="135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16"/>
      <c r="U114" s="116"/>
      <c r="V114" s="116"/>
      <c r="W114" s="148"/>
      <c r="X114" s="148"/>
      <c r="Y114" s="148"/>
    </row>
    <row r="115" spans="1:25" ht="18" x14ac:dyDescent="0.25">
      <c r="A115" s="11" t="s">
        <v>459</v>
      </c>
      <c r="B115" s="11"/>
      <c r="C115" s="11"/>
      <c r="D115" s="11"/>
      <c r="E115" s="11"/>
      <c r="F115" s="11"/>
      <c r="G115" s="11"/>
      <c r="W115" s="148"/>
      <c r="X115" s="148"/>
      <c r="Y115" s="148"/>
    </row>
    <row r="116" spans="1:25" ht="45" customHeight="1" x14ac:dyDescent="0.25">
      <c r="A116" s="14" t="s">
        <v>331</v>
      </c>
      <c r="B116" s="38">
        <v>2007</v>
      </c>
      <c r="C116" s="38">
        <v>2008</v>
      </c>
      <c r="D116" s="38">
        <v>2009</v>
      </c>
      <c r="E116" s="38">
        <v>2010</v>
      </c>
      <c r="F116" s="38">
        <v>2011</v>
      </c>
      <c r="G116" s="38">
        <v>2012</v>
      </c>
      <c r="H116" s="38">
        <v>2013</v>
      </c>
      <c r="I116" s="38">
        <v>2014</v>
      </c>
      <c r="J116" s="38">
        <v>2015</v>
      </c>
      <c r="K116" s="38">
        <v>2016</v>
      </c>
      <c r="L116" s="38">
        <v>2017</v>
      </c>
      <c r="M116" s="38">
        <v>2018</v>
      </c>
      <c r="N116" s="38">
        <v>2019</v>
      </c>
      <c r="O116" s="38">
        <v>2020</v>
      </c>
      <c r="P116" s="38">
        <v>2021</v>
      </c>
      <c r="Q116" s="38">
        <v>2022</v>
      </c>
      <c r="R116" s="38">
        <v>2023</v>
      </c>
      <c r="S116" s="38">
        <v>2024</v>
      </c>
      <c r="T116" s="39" t="s">
        <v>373</v>
      </c>
      <c r="U116" s="39" t="s">
        <v>374</v>
      </c>
      <c r="V116" s="39" t="s">
        <v>375</v>
      </c>
      <c r="W116" s="148"/>
      <c r="X116" s="148"/>
      <c r="Y116" s="148"/>
    </row>
    <row r="117" spans="1:25" x14ac:dyDescent="0.25">
      <c r="A117" s="81" t="s">
        <v>15</v>
      </c>
      <c r="B117" s="40">
        <v>0.64668769716088326</v>
      </c>
      <c r="C117" s="40">
        <v>0.75173156841619204</v>
      </c>
      <c r="D117" s="40">
        <v>0.78080510554737359</v>
      </c>
      <c r="E117" s="40">
        <v>0.71407563025210086</v>
      </c>
      <c r="F117" s="40">
        <v>0.6711953865702277</v>
      </c>
      <c r="G117" s="40">
        <v>0.69238934295722321</v>
      </c>
      <c r="H117" s="40">
        <v>0.674154852780807</v>
      </c>
      <c r="I117" s="40">
        <v>0.66149899620789654</v>
      </c>
      <c r="J117" s="40">
        <v>0.67299732164597026</v>
      </c>
      <c r="K117" s="40">
        <v>0.69964664310954061</v>
      </c>
      <c r="L117" s="40">
        <v>0.69029996104402025</v>
      </c>
      <c r="M117" s="40">
        <v>0.72184765456892841</v>
      </c>
      <c r="N117" s="40">
        <v>0.70769919427036709</v>
      </c>
      <c r="O117" s="40">
        <v>0.75462372448979587</v>
      </c>
      <c r="P117" s="40">
        <v>0.77747216764898497</v>
      </c>
      <c r="Q117" s="40">
        <v>0.7583333333333333</v>
      </c>
      <c r="R117" s="40">
        <v>0.75133235060664472</v>
      </c>
      <c r="S117" s="40">
        <v>0.7360817868652072</v>
      </c>
      <c r="T117" s="90">
        <f t="shared" ref="T117:T146" si="27">(S117-J117)*100</f>
        <v>6.3084465219236936</v>
      </c>
      <c r="U117" s="90">
        <f t="shared" ref="U117:U146" si="28">(S117-O117)*100</f>
        <v>-1.8541937624588667</v>
      </c>
      <c r="V117" s="90">
        <f t="shared" ref="V117:V146" si="29">(S117-R117)*100</f>
        <v>-1.5250563741437517</v>
      </c>
      <c r="W117" s="148"/>
      <c r="X117" s="148"/>
      <c r="Y117" s="148"/>
    </row>
    <row r="118" spans="1:25" x14ac:dyDescent="0.25">
      <c r="A118" s="84" t="s">
        <v>336</v>
      </c>
      <c r="B118" s="41">
        <v>0.65277777777777779</v>
      </c>
      <c r="C118" s="41">
        <v>0.75987020010816653</v>
      </c>
      <c r="D118" s="41">
        <v>0.78579660040334198</v>
      </c>
      <c r="E118" s="41">
        <v>0.72791164658634533</v>
      </c>
      <c r="F118" s="41">
        <v>0.68441376082377725</v>
      </c>
      <c r="G118" s="41">
        <v>0.71150419954186817</v>
      </c>
      <c r="H118" s="41">
        <v>0.68838120104438638</v>
      </c>
      <c r="I118" s="41">
        <v>0.67938116831154971</v>
      </c>
      <c r="J118" s="41">
        <v>0.68772485249676207</v>
      </c>
      <c r="K118" s="41">
        <v>0.71505847953216373</v>
      </c>
      <c r="L118" s="41">
        <v>0.70334019312965013</v>
      </c>
      <c r="M118" s="41">
        <v>0.73640743289745358</v>
      </c>
      <c r="N118" s="41">
        <v>0.72235167592758553</v>
      </c>
      <c r="O118" s="41">
        <v>0.77349768875192604</v>
      </c>
      <c r="P118" s="41">
        <v>0.79076298954595103</v>
      </c>
      <c r="Q118" s="41">
        <v>0.76885245901639343</v>
      </c>
      <c r="R118" s="41">
        <v>0.76023312550826783</v>
      </c>
      <c r="S118" s="41">
        <v>0.74114082466078246</v>
      </c>
      <c r="T118" s="89">
        <f t="shared" si="27"/>
        <v>5.3415972164020387</v>
      </c>
      <c r="U118" s="89">
        <f t="shared" si="28"/>
        <v>-3.2356864091143578</v>
      </c>
      <c r="V118" s="89">
        <f t="shared" si="29"/>
        <v>-1.9092300847485366</v>
      </c>
      <c r="W118" s="148"/>
      <c r="X118" s="148"/>
      <c r="Y118" s="148"/>
    </row>
    <row r="119" spans="1:25" x14ac:dyDescent="0.25">
      <c r="A119" s="84" t="s">
        <v>337</v>
      </c>
      <c r="B119" s="41">
        <v>0.61462450592885376</v>
      </c>
      <c r="C119" s="41">
        <v>0.70421052631578951</v>
      </c>
      <c r="D119" s="41">
        <v>0.7520729684908789</v>
      </c>
      <c r="E119" s="41">
        <v>0.64304123711340211</v>
      </c>
      <c r="F119" s="41">
        <v>0.6041543026706232</v>
      </c>
      <c r="G119" s="41">
        <v>0.5962891874600128</v>
      </c>
      <c r="H119" s="41">
        <v>0.60198675496688747</v>
      </c>
      <c r="I119" s="41">
        <v>0.57016348773841963</v>
      </c>
      <c r="J119" s="41">
        <v>0.59209486166007907</v>
      </c>
      <c r="K119" s="41">
        <v>0.62253108997805418</v>
      </c>
      <c r="L119" s="41">
        <v>0.6307803468208093</v>
      </c>
      <c r="M119" s="41">
        <v>0.64883520276100082</v>
      </c>
      <c r="N119" s="41">
        <v>0.634906500445236</v>
      </c>
      <c r="O119" s="41">
        <v>0.66388888888888886</v>
      </c>
      <c r="P119" s="41">
        <v>0.70799347471451879</v>
      </c>
      <c r="Q119" s="41">
        <v>0.70526315789473681</v>
      </c>
      <c r="R119" s="41">
        <v>0.70575988896599584</v>
      </c>
      <c r="S119" s="41">
        <v>0.70880681818181823</v>
      </c>
      <c r="T119" s="89">
        <f t="shared" si="27"/>
        <v>11.671195652173916</v>
      </c>
      <c r="U119" s="89">
        <f t="shared" si="28"/>
        <v>4.4917929292929371</v>
      </c>
      <c r="V119" s="89">
        <f t="shared" si="29"/>
        <v>0.30469292158223915</v>
      </c>
      <c r="W119" s="148"/>
      <c r="X119" s="148"/>
      <c r="Y119" s="148"/>
    </row>
    <row r="120" spans="1:25" x14ac:dyDescent="0.25">
      <c r="A120" s="81" t="s">
        <v>16</v>
      </c>
      <c r="B120" s="40">
        <v>0.54692653673163416</v>
      </c>
      <c r="C120" s="40">
        <v>0.58015267175572516</v>
      </c>
      <c r="D120" s="40">
        <v>0.64970788704965921</v>
      </c>
      <c r="E120" s="40">
        <v>0.60157194679564696</v>
      </c>
      <c r="F120" s="40">
        <v>0.59289986494308311</v>
      </c>
      <c r="G120" s="40">
        <v>0.6194200686760778</v>
      </c>
      <c r="H120" s="40">
        <v>0.6445627898986428</v>
      </c>
      <c r="I120" s="40">
        <v>0.63984425697598957</v>
      </c>
      <c r="J120" s="40">
        <v>0.66715855058206264</v>
      </c>
      <c r="K120" s="40">
        <v>0.67246780368952319</v>
      </c>
      <c r="L120" s="40">
        <v>0.70612668743509865</v>
      </c>
      <c r="M120" s="40">
        <v>0.70639960918417199</v>
      </c>
      <c r="N120" s="40">
        <v>0.676056338028169</v>
      </c>
      <c r="O120" s="40">
        <v>0.67977970102281671</v>
      </c>
      <c r="P120" s="40">
        <v>0.65687935253152641</v>
      </c>
      <c r="Q120" s="40">
        <v>0.69753886010362698</v>
      </c>
      <c r="R120" s="40">
        <v>0.67372134038800702</v>
      </c>
      <c r="S120" s="40">
        <v>0.67163907585955973</v>
      </c>
      <c r="T120" s="90">
        <f t="shared" si="27"/>
        <v>0.44805252774970938</v>
      </c>
      <c r="U120" s="90">
        <f t="shared" si="28"/>
        <v>-0.81406251632569759</v>
      </c>
      <c r="V120" s="90">
        <f t="shared" si="29"/>
        <v>-0.20822645284472863</v>
      </c>
      <c r="W120" s="148"/>
      <c r="X120" s="148"/>
      <c r="Y120" s="148"/>
    </row>
    <row r="121" spans="1:25" x14ac:dyDescent="0.25">
      <c r="A121" s="84" t="s">
        <v>336</v>
      </c>
      <c r="B121" s="41">
        <v>0.56841470765521396</v>
      </c>
      <c r="C121" s="41">
        <v>0.61153262518968132</v>
      </c>
      <c r="D121" s="41">
        <v>0.67383348581884717</v>
      </c>
      <c r="E121" s="41">
        <v>0.62800300300300305</v>
      </c>
      <c r="F121" s="41">
        <v>0.63273241428066451</v>
      </c>
      <c r="G121" s="41">
        <v>0.64876730834177643</v>
      </c>
      <c r="H121" s="41">
        <v>0.66809552969993879</v>
      </c>
      <c r="I121" s="41">
        <v>0.68171428571428572</v>
      </c>
      <c r="J121" s="41">
        <v>0.70153578672848449</v>
      </c>
      <c r="K121" s="41">
        <v>0.71173939766441308</v>
      </c>
      <c r="L121" s="41">
        <v>0.74078549848942599</v>
      </c>
      <c r="M121" s="41">
        <v>0.75281516067014553</v>
      </c>
      <c r="N121" s="41">
        <v>0.71736842105263154</v>
      </c>
      <c r="O121" s="41">
        <v>0.7296067598310042</v>
      </c>
      <c r="P121" s="41">
        <v>0.68807887660591571</v>
      </c>
      <c r="Q121" s="41">
        <v>0.71635311143270619</v>
      </c>
      <c r="R121" s="41">
        <v>0.70590365809489319</v>
      </c>
      <c r="S121" s="41">
        <v>0.69076655052264813</v>
      </c>
      <c r="T121" s="89">
        <f t="shared" si="27"/>
        <v>-1.0769236205836363</v>
      </c>
      <c r="U121" s="89">
        <f t="shared" si="28"/>
        <v>-3.8840209308356077</v>
      </c>
      <c r="V121" s="89">
        <f t="shared" si="29"/>
        <v>-1.5137107572245068</v>
      </c>
      <c r="W121" s="148"/>
      <c r="X121" s="148"/>
      <c r="Y121" s="148"/>
    </row>
    <row r="122" spans="1:25" x14ac:dyDescent="0.25">
      <c r="A122" s="84" t="s">
        <v>337</v>
      </c>
      <c r="B122" s="41">
        <v>0.52565632458233891</v>
      </c>
      <c r="C122" s="41">
        <v>0.54346540508574803</v>
      </c>
      <c r="D122" s="41">
        <v>0.62226847034339228</v>
      </c>
      <c r="E122" s="41">
        <v>0.57093124456048738</v>
      </c>
      <c r="F122" s="41">
        <v>0.54502973661852172</v>
      </c>
      <c r="G122" s="41">
        <v>0.58132398071021485</v>
      </c>
      <c r="H122" s="41">
        <v>0.61448140900195691</v>
      </c>
      <c r="I122" s="41">
        <v>0.58483483483483478</v>
      </c>
      <c r="J122" s="41">
        <v>0.62235649546827798</v>
      </c>
      <c r="K122" s="41">
        <v>0.6211878009630819</v>
      </c>
      <c r="L122" s="41">
        <v>0.65964343598055108</v>
      </c>
      <c r="M122" s="41">
        <v>0.63880000000000003</v>
      </c>
      <c r="N122" s="41">
        <v>0.61373560936879712</v>
      </c>
      <c r="O122" s="41">
        <v>0.60338814150473341</v>
      </c>
      <c r="P122" s="41">
        <v>0.60376398779247198</v>
      </c>
      <c r="Q122" s="41">
        <v>0.66970021413276226</v>
      </c>
      <c r="R122" s="41">
        <v>0.62366197183098593</v>
      </c>
      <c r="S122" s="41">
        <v>0.63955187530443258</v>
      </c>
      <c r="T122" s="89">
        <f t="shared" si="27"/>
        <v>1.7195379836154601</v>
      </c>
      <c r="U122" s="89">
        <f t="shared" si="28"/>
        <v>3.6163733799699171</v>
      </c>
      <c r="V122" s="89">
        <f t="shared" si="29"/>
        <v>1.5889903473446654</v>
      </c>
      <c r="W122" s="148"/>
      <c r="X122" s="148"/>
      <c r="Y122" s="148"/>
    </row>
    <row r="123" spans="1:25" x14ac:dyDescent="0.25">
      <c r="A123" s="81" t="s">
        <v>17</v>
      </c>
      <c r="B123" s="40">
        <v>0.60160614525139666</v>
      </c>
      <c r="C123" s="40">
        <v>0.619722073757349</v>
      </c>
      <c r="D123" s="40">
        <v>0.63371513944223112</v>
      </c>
      <c r="E123" s="40">
        <v>0.60661345496009123</v>
      </c>
      <c r="F123" s="40">
        <v>0.60230149597238203</v>
      </c>
      <c r="G123" s="40">
        <v>0.5930979133226324</v>
      </c>
      <c r="H123" s="40">
        <v>0.64630488137442055</v>
      </c>
      <c r="I123" s="40">
        <v>0.60668708524757531</v>
      </c>
      <c r="J123" s="40">
        <v>0.66921241050119329</v>
      </c>
      <c r="K123" s="40">
        <v>0.6596091205211726</v>
      </c>
      <c r="L123" s="40">
        <v>0.67975609756097566</v>
      </c>
      <c r="M123" s="40">
        <v>0.70145145145145149</v>
      </c>
      <c r="N123" s="40">
        <v>0.66206216082881109</v>
      </c>
      <c r="O123" s="40">
        <v>0.6402393418100224</v>
      </c>
      <c r="P123" s="40">
        <v>0.71576609918578826</v>
      </c>
      <c r="Q123" s="40">
        <v>0.74653098982423682</v>
      </c>
      <c r="R123" s="40">
        <v>0.77152863617634937</v>
      </c>
      <c r="S123" s="40">
        <v>0.75104560844453294</v>
      </c>
      <c r="T123" s="90">
        <f t="shared" si="27"/>
        <v>8.1833197943339648</v>
      </c>
      <c r="U123" s="90">
        <f t="shared" si="28"/>
        <v>11.080626663451055</v>
      </c>
      <c r="V123" s="90">
        <f t="shared" si="29"/>
        <v>-2.0483027731816428</v>
      </c>
      <c r="W123" s="148"/>
      <c r="X123" s="148"/>
      <c r="Y123" s="148"/>
    </row>
    <row r="124" spans="1:25" x14ac:dyDescent="0.25">
      <c r="A124" s="84" t="s">
        <v>336</v>
      </c>
      <c r="B124" s="41">
        <v>0.6342141863699583</v>
      </c>
      <c r="C124" s="41">
        <v>0.64796706124549663</v>
      </c>
      <c r="D124" s="41">
        <v>0.680431722196152</v>
      </c>
      <c r="E124" s="41">
        <v>0.65316673847479534</v>
      </c>
      <c r="F124" s="41">
        <v>0.63888888888888884</v>
      </c>
      <c r="G124" s="41">
        <v>0.64963144963144959</v>
      </c>
      <c r="H124" s="41">
        <v>0.68766001024065537</v>
      </c>
      <c r="I124" s="41">
        <v>0.64327750113173376</v>
      </c>
      <c r="J124" s="41">
        <v>0.71162790697674416</v>
      </c>
      <c r="K124" s="41">
        <v>0.70131578947368423</v>
      </c>
      <c r="L124" s="41">
        <v>0.72501195600191293</v>
      </c>
      <c r="M124" s="41">
        <v>0.7513176808816483</v>
      </c>
      <c r="N124" s="41">
        <v>0.70132325141776941</v>
      </c>
      <c r="O124" s="41">
        <v>0.70831307729703452</v>
      </c>
      <c r="P124" s="41">
        <v>0.75284339457567806</v>
      </c>
      <c r="Q124" s="41">
        <v>0.78156400174748797</v>
      </c>
      <c r="R124" s="41">
        <v>0.80742187499999996</v>
      </c>
      <c r="S124" s="41">
        <v>0.77924459112577926</v>
      </c>
      <c r="T124" s="89">
        <f t="shared" si="27"/>
        <v>6.76166841490351</v>
      </c>
      <c r="U124" s="89">
        <f t="shared" si="28"/>
        <v>7.0931513828744741</v>
      </c>
      <c r="V124" s="89">
        <f t="shared" si="29"/>
        <v>-2.8177283874220693</v>
      </c>
      <c r="W124" s="148"/>
      <c r="X124" s="148"/>
      <c r="Y124" s="148"/>
    </row>
    <row r="125" spans="1:25" x14ac:dyDescent="0.25">
      <c r="A125" s="84" t="s">
        <v>337</v>
      </c>
      <c r="B125" s="41">
        <v>0.56872370266479666</v>
      </c>
      <c r="C125" s="41">
        <v>0.58921623123957756</v>
      </c>
      <c r="D125" s="41">
        <v>0.58090185676392569</v>
      </c>
      <c r="E125" s="41">
        <v>0.55426356589147285</v>
      </c>
      <c r="F125" s="41">
        <v>0.55960099750623438</v>
      </c>
      <c r="G125" s="41">
        <v>0.5255431591309454</v>
      </c>
      <c r="H125" s="41">
        <v>0.59918319719953328</v>
      </c>
      <c r="I125" s="41">
        <v>0.55939145699239323</v>
      </c>
      <c r="J125" s="41">
        <v>0.61424657534246574</v>
      </c>
      <c r="K125" s="41">
        <v>0.61248761149653119</v>
      </c>
      <c r="L125" s="41">
        <v>0.63265306122448983</v>
      </c>
      <c r="M125" s="41">
        <v>0.64693556836039812</v>
      </c>
      <c r="N125" s="41">
        <v>0.61919504643962853</v>
      </c>
      <c r="O125" s="41">
        <v>0.56857727737973385</v>
      </c>
      <c r="P125" s="41">
        <v>0.66779852857951327</v>
      </c>
      <c r="Q125" s="41">
        <v>0.70712530712530708</v>
      </c>
      <c r="R125" s="41">
        <v>0.73147340889276369</v>
      </c>
      <c r="S125" s="41">
        <v>0.71752397558849168</v>
      </c>
      <c r="T125" s="89">
        <f t="shared" si="27"/>
        <v>10.327740024602594</v>
      </c>
      <c r="U125" s="89">
        <f t="shared" si="28"/>
        <v>14.894669820875784</v>
      </c>
      <c r="V125" s="89">
        <f t="shared" si="29"/>
        <v>-1.3949433304272008</v>
      </c>
      <c r="W125" s="148"/>
      <c r="X125" s="148"/>
      <c r="Y125" s="148"/>
    </row>
    <row r="126" spans="1:25" x14ac:dyDescent="0.25">
      <c r="A126" s="81" t="s">
        <v>19</v>
      </c>
      <c r="B126" s="40">
        <v>0.69565217391304346</v>
      </c>
      <c r="C126" s="40">
        <v>0.67838125665601701</v>
      </c>
      <c r="D126" s="40">
        <v>0.72399020807833536</v>
      </c>
      <c r="E126" s="40">
        <v>0.71962215543151564</v>
      </c>
      <c r="F126" s="40">
        <v>0.72029102667744538</v>
      </c>
      <c r="G126" s="40">
        <v>0.70652570178636531</v>
      </c>
      <c r="H126" s="40">
        <v>0.72533225936367296</v>
      </c>
      <c r="I126" s="40">
        <v>0.68798809966530305</v>
      </c>
      <c r="J126" s="40">
        <v>0.72497402147558021</v>
      </c>
      <c r="K126" s="40">
        <v>0.77059182428309947</v>
      </c>
      <c r="L126" s="40">
        <v>0.75888754534461911</v>
      </c>
      <c r="M126" s="40">
        <v>0.78931750741839768</v>
      </c>
      <c r="N126" s="40">
        <v>0.76439089692101736</v>
      </c>
      <c r="O126" s="40">
        <v>0.75448376151236063</v>
      </c>
      <c r="P126" s="40">
        <v>0.75413533834586466</v>
      </c>
      <c r="Q126" s="40">
        <v>0.76273115220483645</v>
      </c>
      <c r="R126" s="40">
        <v>0.72540343571056742</v>
      </c>
      <c r="S126" s="40">
        <v>0.75830441249380265</v>
      </c>
      <c r="T126" s="90">
        <f t="shared" si="27"/>
        <v>3.3330391018222438</v>
      </c>
      <c r="U126" s="90">
        <f t="shared" si="28"/>
        <v>0.38206509814420198</v>
      </c>
      <c r="V126" s="90">
        <f t="shared" si="29"/>
        <v>3.2900976783235225</v>
      </c>
      <c r="W126" s="148"/>
      <c r="X126" s="148"/>
      <c r="Y126" s="148"/>
    </row>
    <row r="127" spans="1:25" x14ac:dyDescent="0.25">
      <c r="A127" s="84" t="s">
        <v>336</v>
      </c>
      <c r="B127" s="41">
        <v>0.69755469755469757</v>
      </c>
      <c r="C127" s="41">
        <v>0.68055555555555558</v>
      </c>
      <c r="D127" s="41">
        <v>0.72490706319702602</v>
      </c>
      <c r="E127" s="41">
        <v>0.72117039586919107</v>
      </c>
      <c r="F127" s="41">
        <v>0.72064777327935226</v>
      </c>
      <c r="G127" s="41">
        <v>0.70697844355133355</v>
      </c>
      <c r="H127" s="41">
        <v>0.72511084240225721</v>
      </c>
      <c r="I127" s="41">
        <v>0.68824404761904767</v>
      </c>
      <c r="J127" s="41">
        <v>0.72923935799023032</v>
      </c>
      <c r="K127" s="41">
        <v>0.77068702290076341</v>
      </c>
      <c r="L127" s="41">
        <v>0.7590128236148076</v>
      </c>
      <c r="M127" s="41">
        <v>0.78979871912168342</v>
      </c>
      <c r="N127" s="41">
        <v>0.76474530831099197</v>
      </c>
      <c r="O127" s="41">
        <v>0.75528040786598694</v>
      </c>
      <c r="P127" s="41">
        <v>0.75446091982910279</v>
      </c>
      <c r="Q127" s="41">
        <v>0.76329331046312177</v>
      </c>
      <c r="R127" s="41">
        <v>0.72629649030906229</v>
      </c>
      <c r="S127" s="41">
        <v>0.76020916334661359</v>
      </c>
      <c r="T127" s="89">
        <f t="shared" si="27"/>
        <v>3.0969805356383273</v>
      </c>
      <c r="U127" s="89">
        <f t="shared" si="28"/>
        <v>0.49287554806266565</v>
      </c>
      <c r="V127" s="89">
        <f t="shared" si="29"/>
        <v>3.39126730375513</v>
      </c>
      <c r="W127" s="148"/>
      <c r="X127" s="148"/>
      <c r="Y127" s="148"/>
    </row>
    <row r="128" spans="1:25" x14ac:dyDescent="0.25">
      <c r="A128" s="84" t="s">
        <v>337</v>
      </c>
      <c r="B128" s="41" t="s">
        <v>62</v>
      </c>
      <c r="C128" s="41" t="s">
        <v>62</v>
      </c>
      <c r="D128" s="41">
        <v>0.65</v>
      </c>
      <c r="E128" s="41" t="s">
        <v>62</v>
      </c>
      <c r="F128" s="41" t="s">
        <v>62</v>
      </c>
      <c r="G128" s="41" t="s">
        <v>62</v>
      </c>
      <c r="H128" s="41" t="s">
        <v>62</v>
      </c>
      <c r="I128" s="41" t="s">
        <v>62</v>
      </c>
      <c r="J128" s="41">
        <v>0.14285714285714285</v>
      </c>
      <c r="K128" s="41" t="s">
        <v>62</v>
      </c>
      <c r="L128" s="41" t="s">
        <v>62</v>
      </c>
      <c r="M128" s="41" t="s">
        <v>62</v>
      </c>
      <c r="N128" s="41" t="s">
        <v>62</v>
      </c>
      <c r="O128" s="41" t="s">
        <v>62</v>
      </c>
      <c r="P128" s="41">
        <v>0.63636363636363635</v>
      </c>
      <c r="Q128" s="41">
        <v>0.6470588235294118</v>
      </c>
      <c r="R128" s="41">
        <v>0.58333333333333337</v>
      </c>
      <c r="S128" s="41">
        <v>0.33333333333333331</v>
      </c>
      <c r="T128" s="89">
        <f t="shared" si="27"/>
        <v>19.047619047619047</v>
      </c>
      <c r="U128" s="41" t="s">
        <v>62</v>
      </c>
      <c r="V128" s="89">
        <f t="shared" si="29"/>
        <v>-25.000000000000007</v>
      </c>
      <c r="W128" s="148"/>
      <c r="X128" s="148"/>
      <c r="Y128" s="148"/>
    </row>
    <row r="129" spans="1:25" x14ac:dyDescent="0.25">
      <c r="A129" s="81" t="s">
        <v>18</v>
      </c>
      <c r="B129" s="40">
        <v>0.57752923233350284</v>
      </c>
      <c r="C129" s="40">
        <v>0.58772293654085439</v>
      </c>
      <c r="D129" s="40">
        <v>0.61601796407185627</v>
      </c>
      <c r="E129" s="40">
        <v>0.61632390745501286</v>
      </c>
      <c r="F129" s="40">
        <v>0.60184010152284262</v>
      </c>
      <c r="G129" s="40">
        <v>0.63661202185792354</v>
      </c>
      <c r="H129" s="40">
        <v>0.66951871657754014</v>
      </c>
      <c r="I129" s="40">
        <v>0.65631330182309255</v>
      </c>
      <c r="J129" s="40">
        <v>0.64798050139275765</v>
      </c>
      <c r="K129" s="40">
        <v>0.64776951672862448</v>
      </c>
      <c r="L129" s="40">
        <v>0.69335705812574144</v>
      </c>
      <c r="M129" s="40">
        <v>0.68809523809523809</v>
      </c>
      <c r="N129" s="40">
        <v>0.64427625354777673</v>
      </c>
      <c r="O129" s="40">
        <v>0.51899570531879746</v>
      </c>
      <c r="P129" s="40">
        <v>0.61447166921898932</v>
      </c>
      <c r="Q129" s="40">
        <v>0.67458603311735066</v>
      </c>
      <c r="R129" s="40">
        <v>0.69146482122260666</v>
      </c>
      <c r="S129" s="40">
        <v>0.68724385245901642</v>
      </c>
      <c r="T129" s="90">
        <f t="shared" si="27"/>
        <v>3.9263351066258778</v>
      </c>
      <c r="U129" s="90">
        <f t="shared" si="28"/>
        <v>16.824814714021898</v>
      </c>
      <c r="V129" s="90">
        <f t="shared" si="29"/>
        <v>-0.42209687635902382</v>
      </c>
      <c r="W129" s="148"/>
      <c r="X129" s="148"/>
      <c r="Y129" s="148"/>
    </row>
    <row r="130" spans="1:25" x14ac:dyDescent="0.25">
      <c r="A130" s="84" t="s">
        <v>336</v>
      </c>
      <c r="B130" s="41">
        <v>0.48</v>
      </c>
      <c r="C130" s="41">
        <v>0.52941176470588236</v>
      </c>
      <c r="D130" s="41">
        <v>0.47368421052631576</v>
      </c>
      <c r="E130" s="41">
        <v>0.67346938775510201</v>
      </c>
      <c r="F130" s="41">
        <v>0.71739130434782605</v>
      </c>
      <c r="G130" s="41">
        <v>0.52173913043478259</v>
      </c>
      <c r="H130" s="41">
        <v>0.72499999999999998</v>
      </c>
      <c r="I130" s="41">
        <v>0.56862745098039214</v>
      </c>
      <c r="J130" s="41">
        <v>0.57534246575342463</v>
      </c>
      <c r="K130" s="41">
        <v>0.56666666666666665</v>
      </c>
      <c r="L130" s="41">
        <v>0.55319148936170215</v>
      </c>
      <c r="M130" s="41">
        <v>0.73195876288659789</v>
      </c>
      <c r="N130" s="41">
        <v>0.62727272727272732</v>
      </c>
      <c r="O130" s="41">
        <v>0.55434782608695654</v>
      </c>
      <c r="P130" s="41">
        <v>0.52427184466019416</v>
      </c>
      <c r="Q130" s="41">
        <v>0.65322580645161288</v>
      </c>
      <c r="R130" s="41">
        <v>0.61576354679802958</v>
      </c>
      <c r="S130" s="41">
        <v>0.67986798679867988</v>
      </c>
      <c r="T130" s="89">
        <f t="shared" si="27"/>
        <v>10.452552104525525</v>
      </c>
      <c r="U130" s="89">
        <f t="shared" si="28"/>
        <v>12.552016071172334</v>
      </c>
      <c r="V130" s="89">
        <f t="shared" si="29"/>
        <v>6.4104440000650298</v>
      </c>
      <c r="W130" s="148"/>
      <c r="X130" s="148"/>
      <c r="Y130" s="148"/>
    </row>
    <row r="131" spans="1:25" x14ac:dyDescent="0.25">
      <c r="A131" s="84" t="s">
        <v>337</v>
      </c>
      <c r="B131" s="41">
        <v>0.57878475798146245</v>
      </c>
      <c r="C131" s="41">
        <v>0.5885570046276819</v>
      </c>
      <c r="D131" s="41">
        <v>0.61807137433561121</v>
      </c>
      <c r="E131" s="41">
        <v>0.61540972902383284</v>
      </c>
      <c r="F131" s="41">
        <v>0.60012878300064387</v>
      </c>
      <c r="G131" s="41">
        <v>0.63844552394170717</v>
      </c>
      <c r="H131" s="41">
        <v>0.66871609403254972</v>
      </c>
      <c r="I131" s="41">
        <v>0.65784953624184128</v>
      </c>
      <c r="J131" s="41">
        <v>0.64987495534119333</v>
      </c>
      <c r="K131" s="41">
        <v>0.65009560229445507</v>
      </c>
      <c r="L131" s="41">
        <v>0.69737644905430141</v>
      </c>
      <c r="M131" s="41">
        <v>0.68679129635304936</v>
      </c>
      <c r="N131" s="41">
        <v>0.64488729173472725</v>
      </c>
      <c r="O131" s="41">
        <v>0.51788756388415669</v>
      </c>
      <c r="P131" s="41">
        <v>0.61817457154244715</v>
      </c>
      <c r="Q131" s="41">
        <v>0.6755840241145441</v>
      </c>
      <c r="R131" s="41">
        <v>0.69617151607963246</v>
      </c>
      <c r="S131" s="41">
        <v>0.68786448208830875</v>
      </c>
      <c r="T131" s="89">
        <f t="shared" si="27"/>
        <v>3.7989526747115421</v>
      </c>
      <c r="U131" s="89">
        <f t="shared" si="28"/>
        <v>16.997691820415206</v>
      </c>
      <c r="V131" s="89">
        <f t="shared" si="29"/>
        <v>-0.8307033991323709</v>
      </c>
      <c r="W131" s="148"/>
      <c r="X131" s="148"/>
      <c r="Y131" s="148"/>
    </row>
    <row r="132" spans="1:25" x14ac:dyDescent="0.25">
      <c r="A132" s="81" t="s">
        <v>21</v>
      </c>
      <c r="B132" s="40">
        <v>0.63247863247863245</v>
      </c>
      <c r="C132" s="40">
        <v>0.61597374179431075</v>
      </c>
      <c r="D132" s="40">
        <v>0.66598778004073322</v>
      </c>
      <c r="E132" s="40">
        <v>0.67730173199635368</v>
      </c>
      <c r="F132" s="40">
        <v>0.66165951359084407</v>
      </c>
      <c r="G132" s="40">
        <v>0.60513532269257464</v>
      </c>
      <c r="H132" s="40">
        <v>0.63208616780045357</v>
      </c>
      <c r="I132" s="40">
        <v>0.6359423274974253</v>
      </c>
      <c r="J132" s="40">
        <v>0.61207645525629883</v>
      </c>
      <c r="K132" s="40">
        <v>0.62527716186252769</v>
      </c>
      <c r="L132" s="40">
        <v>0.65219298245614032</v>
      </c>
      <c r="M132" s="40">
        <v>0.69458631256384062</v>
      </c>
      <c r="N132" s="40">
        <v>0.64370437956204385</v>
      </c>
      <c r="O132" s="40">
        <v>0.56705539358600587</v>
      </c>
      <c r="P132" s="40">
        <v>0.61410579345088157</v>
      </c>
      <c r="Q132" s="40">
        <v>0.6750833730347785</v>
      </c>
      <c r="R132" s="40">
        <v>0.68060533651931499</v>
      </c>
      <c r="S132" s="40">
        <v>0.66535433070866146</v>
      </c>
      <c r="T132" s="90">
        <f t="shared" si="27"/>
        <v>5.3277875452362622</v>
      </c>
      <c r="U132" s="90">
        <f t="shared" si="28"/>
        <v>9.8298937122655587</v>
      </c>
      <c r="V132" s="90">
        <f t="shared" si="29"/>
        <v>-1.5251005810653528</v>
      </c>
      <c r="W132" s="148"/>
      <c r="X132" s="148"/>
      <c r="Y132" s="148"/>
    </row>
    <row r="133" spans="1:25" x14ac:dyDescent="0.25">
      <c r="A133" s="84" t="s">
        <v>336</v>
      </c>
      <c r="B133" s="41">
        <v>0.66666666666666663</v>
      </c>
      <c r="C133" s="41">
        <v>0.52631578947368418</v>
      </c>
      <c r="D133" s="41">
        <v>0.6071428571428571</v>
      </c>
      <c r="E133" s="41">
        <v>0.45454545454545453</v>
      </c>
      <c r="F133" s="41">
        <v>0.60869565217391308</v>
      </c>
      <c r="G133" s="41">
        <v>0.52</v>
      </c>
      <c r="H133" s="41">
        <v>0.71794871794871795</v>
      </c>
      <c r="I133" s="41">
        <v>0.69767441860465118</v>
      </c>
      <c r="J133" s="41">
        <v>0.6607142857142857</v>
      </c>
      <c r="K133" s="41">
        <v>0.58108108108108103</v>
      </c>
      <c r="L133" s="41">
        <v>0.60759493670886078</v>
      </c>
      <c r="M133" s="41">
        <v>0.63636363636363635</v>
      </c>
      <c r="N133" s="41">
        <v>0.6428571428571429</v>
      </c>
      <c r="O133" s="41">
        <v>0.53658536585365857</v>
      </c>
      <c r="P133" s="41">
        <v>0.55696202531645567</v>
      </c>
      <c r="Q133" s="41">
        <v>0.66355140186915884</v>
      </c>
      <c r="R133" s="41">
        <v>0.66176470588235292</v>
      </c>
      <c r="S133" s="41">
        <v>0.65024630541871919</v>
      </c>
      <c r="T133" s="89">
        <f t="shared" si="27"/>
        <v>-1.0467980295566504</v>
      </c>
      <c r="U133" s="89">
        <f t="shared" si="28"/>
        <v>11.366093956506063</v>
      </c>
      <c r="V133" s="89">
        <f t="shared" si="29"/>
        <v>-1.1518400463633727</v>
      </c>
      <c r="W133" s="148"/>
      <c r="X133" s="148"/>
      <c r="Y133" s="148"/>
    </row>
    <row r="134" spans="1:25" x14ac:dyDescent="0.25">
      <c r="A134" s="84" t="s">
        <v>337</v>
      </c>
      <c r="B134" s="41">
        <v>0.63218390804597702</v>
      </c>
      <c r="C134" s="41">
        <v>0.617877094972067</v>
      </c>
      <c r="D134" s="41">
        <v>0.66771488469601681</v>
      </c>
      <c r="E134" s="41">
        <v>0.68186046511627907</v>
      </c>
      <c r="F134" s="41">
        <v>0.66254545454545455</v>
      </c>
      <c r="G134" s="41">
        <v>0.60663841807909602</v>
      </c>
      <c r="H134" s="41">
        <v>0.63014492753623186</v>
      </c>
      <c r="I134" s="41">
        <v>0.63454449710373884</v>
      </c>
      <c r="J134" s="41">
        <v>0.6108637577916296</v>
      </c>
      <c r="K134" s="41">
        <v>0.62677670793214124</v>
      </c>
      <c r="L134" s="41">
        <v>0.6537937301226715</v>
      </c>
      <c r="M134" s="41">
        <v>0.69661733615221988</v>
      </c>
      <c r="N134" s="41">
        <v>0.64374403056351481</v>
      </c>
      <c r="O134" s="41">
        <v>0.56831983805668018</v>
      </c>
      <c r="P134" s="41">
        <v>0.61647429171038826</v>
      </c>
      <c r="Q134" s="41">
        <v>0.67570281124497988</v>
      </c>
      <c r="R134" s="41">
        <v>0.68168421052631578</v>
      </c>
      <c r="S134" s="41">
        <v>0.66643233743409491</v>
      </c>
      <c r="T134" s="89">
        <f t="shared" si="27"/>
        <v>5.5568579642465306</v>
      </c>
      <c r="U134" s="89">
        <f t="shared" si="28"/>
        <v>9.8112499377414721</v>
      </c>
      <c r="V134" s="89">
        <f t="shared" si="29"/>
        <v>-1.5251873092220869</v>
      </c>
      <c r="W134" s="148"/>
      <c r="X134" s="148"/>
      <c r="Y134" s="148"/>
    </row>
    <row r="135" spans="1:25" x14ac:dyDescent="0.25">
      <c r="A135" s="81" t="s">
        <v>50</v>
      </c>
      <c r="B135" s="40">
        <v>0.53365098272781419</v>
      </c>
      <c r="C135" s="40">
        <v>0.61011752682677567</v>
      </c>
      <c r="D135" s="40">
        <v>0.56484560570071263</v>
      </c>
      <c r="E135" s="40">
        <v>0.59722222222222221</v>
      </c>
      <c r="F135" s="40">
        <v>0.59874279727606072</v>
      </c>
      <c r="G135" s="40">
        <v>0.61260669730794481</v>
      </c>
      <c r="H135" s="40">
        <v>0.61692395654659804</v>
      </c>
      <c r="I135" s="40">
        <v>0.62918796138557642</v>
      </c>
      <c r="J135" s="40">
        <v>0.60747126436781607</v>
      </c>
      <c r="K135" s="40">
        <v>0.67560497056899937</v>
      </c>
      <c r="L135" s="40">
        <v>0.72176949941792778</v>
      </c>
      <c r="M135" s="40">
        <v>0.73580663293985382</v>
      </c>
      <c r="N135" s="40">
        <v>0.71342383107088991</v>
      </c>
      <c r="O135" s="40">
        <v>0.66999500748876684</v>
      </c>
      <c r="P135" s="40">
        <v>0.61991777067153953</v>
      </c>
      <c r="Q135" s="40">
        <v>0.68680297397769519</v>
      </c>
      <c r="R135" s="40">
        <v>0.69033000767459707</v>
      </c>
      <c r="S135" s="40">
        <v>0.7068965517241379</v>
      </c>
      <c r="T135" s="90">
        <f t="shared" si="27"/>
        <v>9.9425287356321839</v>
      </c>
      <c r="U135" s="90">
        <f t="shared" si="28"/>
        <v>3.6901544235371064</v>
      </c>
      <c r="V135" s="90">
        <f t="shared" si="29"/>
        <v>1.6566544049540832</v>
      </c>
      <c r="W135" s="148"/>
      <c r="X135" s="148"/>
      <c r="Y135" s="148"/>
    </row>
    <row r="136" spans="1:25" x14ac:dyDescent="0.25">
      <c r="A136" s="84" t="s">
        <v>336</v>
      </c>
      <c r="B136" s="41">
        <v>0.53053435114503822</v>
      </c>
      <c r="C136" s="41">
        <v>0.62179487179487181</v>
      </c>
      <c r="D136" s="41">
        <v>0.5</v>
      </c>
      <c r="E136" s="41">
        <v>0.58333333333333337</v>
      </c>
      <c r="F136" s="41">
        <v>0.56521739130434778</v>
      </c>
      <c r="G136" s="41">
        <v>0.56172839506172845</v>
      </c>
      <c r="H136" s="41">
        <v>0.55757575757575761</v>
      </c>
      <c r="I136" s="41">
        <v>0.574585635359116</v>
      </c>
      <c r="J136" s="41">
        <v>0.48571428571428571</v>
      </c>
      <c r="K136" s="41">
        <v>0.68789808917197448</v>
      </c>
      <c r="L136" s="41">
        <v>0.66666666666666663</v>
      </c>
      <c r="M136" s="41">
        <v>0.75428571428571434</v>
      </c>
      <c r="N136" s="41">
        <v>0.77669902912621358</v>
      </c>
      <c r="O136" s="41">
        <v>0.66666666666666663</v>
      </c>
      <c r="P136" s="41">
        <v>0.62413793103448278</v>
      </c>
      <c r="Q136" s="41">
        <v>0.65878378378378377</v>
      </c>
      <c r="R136" s="41">
        <v>0.67441860465116277</v>
      </c>
      <c r="S136" s="41">
        <v>0.68190854870775353</v>
      </c>
      <c r="T136" s="89">
        <f t="shared" si="27"/>
        <v>19.619426299346781</v>
      </c>
      <c r="U136" s="89">
        <f t="shared" si="28"/>
        <v>1.5241882041086896</v>
      </c>
      <c r="V136" s="89">
        <f t="shared" si="29"/>
        <v>0.74899440565907582</v>
      </c>
      <c r="W136" s="148"/>
      <c r="X136" s="148"/>
      <c r="Y136" s="148"/>
    </row>
    <row r="137" spans="1:25" x14ac:dyDescent="0.25">
      <c r="A137" s="84" t="s">
        <v>337</v>
      </c>
      <c r="B137" s="41">
        <v>0.53422724064925897</v>
      </c>
      <c r="C137" s="41">
        <v>0.60790273556231</v>
      </c>
      <c r="D137" s="41">
        <v>0.57553956834532372</v>
      </c>
      <c r="E137" s="41">
        <v>0.59959349593495936</v>
      </c>
      <c r="F137" s="41">
        <v>0.60282021151586374</v>
      </c>
      <c r="G137" s="41">
        <v>0.61866274797942689</v>
      </c>
      <c r="H137" s="41">
        <v>0.62310606060606055</v>
      </c>
      <c r="I137" s="41">
        <v>0.63544303797468349</v>
      </c>
      <c r="J137" s="41">
        <v>0.62108626198083072</v>
      </c>
      <c r="K137" s="41">
        <v>0.67419825072886297</v>
      </c>
      <c r="L137" s="41">
        <v>0.72907053394858268</v>
      </c>
      <c r="M137" s="41">
        <v>0.73379052369077302</v>
      </c>
      <c r="N137" s="41">
        <v>0.70611329220415031</v>
      </c>
      <c r="O137" s="41">
        <v>0.67042889390519189</v>
      </c>
      <c r="P137" s="41">
        <v>0.61927330173775674</v>
      </c>
      <c r="Q137" s="41">
        <v>0.6912715517241379</v>
      </c>
      <c r="R137" s="41">
        <v>0.69240780911062905</v>
      </c>
      <c r="S137" s="41">
        <v>0.71201629327902238</v>
      </c>
      <c r="T137" s="89">
        <f t="shared" si="27"/>
        <v>9.0930031298191665</v>
      </c>
      <c r="U137" s="89">
        <f t="shared" si="28"/>
        <v>4.1587399373830491</v>
      </c>
      <c r="V137" s="89">
        <f t="shared" si="29"/>
        <v>1.9608484168393336</v>
      </c>
      <c r="W137" s="148"/>
      <c r="X137" s="148"/>
      <c r="Y137" s="148"/>
    </row>
    <row r="138" spans="1:25" x14ac:dyDescent="0.25">
      <c r="A138" s="81" t="s">
        <v>112</v>
      </c>
      <c r="B138" s="40">
        <v>0.57494866529774125</v>
      </c>
      <c r="C138" s="40">
        <v>0.53125</v>
      </c>
      <c r="D138" s="40">
        <v>0.58148148148148149</v>
      </c>
      <c r="E138" s="40">
        <v>0.61010362694300513</v>
      </c>
      <c r="F138" s="40">
        <v>0.58068614993646761</v>
      </c>
      <c r="G138" s="40">
        <v>0.58192771084337347</v>
      </c>
      <c r="H138" s="40">
        <v>0.60149572649572647</v>
      </c>
      <c r="I138" s="40">
        <v>0.45209302325581396</v>
      </c>
      <c r="J138" s="40">
        <v>0.67784431137724555</v>
      </c>
      <c r="K138" s="40">
        <v>0.67725409836065575</v>
      </c>
      <c r="L138" s="40">
        <v>0.71046600458365161</v>
      </c>
      <c r="M138" s="40">
        <v>0.70099009900990095</v>
      </c>
      <c r="N138" s="40">
        <v>0.66529411764705881</v>
      </c>
      <c r="O138" s="40">
        <v>0.66773367477592827</v>
      </c>
      <c r="P138" s="40">
        <v>0.63729977116704806</v>
      </c>
      <c r="Q138" s="40">
        <v>0.67489204194941399</v>
      </c>
      <c r="R138" s="40">
        <v>0.67800103039670268</v>
      </c>
      <c r="S138" s="40">
        <v>0.68111455108359131</v>
      </c>
      <c r="T138" s="90">
        <f t="shared" si="27"/>
        <v>0.32702397063457678</v>
      </c>
      <c r="U138" s="90">
        <f t="shared" si="28"/>
        <v>1.3380876307663048</v>
      </c>
      <c r="V138" s="90">
        <f t="shared" si="29"/>
        <v>0.31135206868886378</v>
      </c>
      <c r="W138" s="148"/>
      <c r="X138" s="148"/>
      <c r="Y138" s="148"/>
    </row>
    <row r="139" spans="1:25" x14ac:dyDescent="0.25">
      <c r="A139" s="84" t="s">
        <v>336</v>
      </c>
      <c r="B139" s="41">
        <v>0.59740259740259738</v>
      </c>
      <c r="C139" s="41">
        <v>0.53508771929824561</v>
      </c>
      <c r="D139" s="41">
        <v>0.58653846153846156</v>
      </c>
      <c r="E139" s="41">
        <v>0.67027027027027031</v>
      </c>
      <c r="F139" s="41">
        <v>0.66871165644171782</v>
      </c>
      <c r="G139" s="41">
        <v>0.67080745341614911</v>
      </c>
      <c r="H139" s="41">
        <v>0.66086956521739126</v>
      </c>
      <c r="I139" s="41">
        <v>0.50570342205323193</v>
      </c>
      <c r="J139" s="41">
        <v>0.6875</v>
      </c>
      <c r="K139" s="41">
        <v>0.73293768545994065</v>
      </c>
      <c r="L139" s="41">
        <v>0.77083333333333337</v>
      </c>
      <c r="M139" s="41">
        <v>0.74957118353344765</v>
      </c>
      <c r="N139" s="41">
        <v>0.72128637059724354</v>
      </c>
      <c r="O139" s="41">
        <v>0.72566371681415931</v>
      </c>
      <c r="P139" s="41">
        <v>0.66005291005291</v>
      </c>
      <c r="Q139" s="41">
        <v>0.72103004291845496</v>
      </c>
      <c r="R139" s="41">
        <v>0.70011025358324142</v>
      </c>
      <c r="S139" s="41">
        <v>0.71295433364398886</v>
      </c>
      <c r="T139" s="89">
        <f t="shared" si="27"/>
        <v>2.5454333643988858</v>
      </c>
      <c r="U139" s="89">
        <f t="shared" si="28"/>
        <v>-1.2709383170170452</v>
      </c>
      <c r="V139" s="89">
        <f t="shared" si="29"/>
        <v>1.2844080060747443</v>
      </c>
      <c r="W139" s="148"/>
      <c r="X139" s="148"/>
      <c r="Y139" s="148"/>
    </row>
    <row r="140" spans="1:25" x14ac:dyDescent="0.25">
      <c r="A140" s="84" t="s">
        <v>337</v>
      </c>
      <c r="B140" s="41">
        <v>0.57073170731707312</v>
      </c>
      <c r="C140" s="41">
        <v>0.53023255813953485</v>
      </c>
      <c r="D140" s="41">
        <v>0.58027522935779818</v>
      </c>
      <c r="E140" s="41">
        <v>0.59114139693356049</v>
      </c>
      <c r="F140" s="41">
        <v>0.55769230769230771</v>
      </c>
      <c r="G140" s="41">
        <v>0.5605381165919282</v>
      </c>
      <c r="H140" s="41">
        <v>0.5821529745042493</v>
      </c>
      <c r="I140" s="41">
        <v>0.43472906403940886</v>
      </c>
      <c r="J140" s="41">
        <v>0.67430441898527005</v>
      </c>
      <c r="K140" s="41">
        <v>0.647887323943662</v>
      </c>
      <c r="L140" s="41">
        <v>0.68072976054732037</v>
      </c>
      <c r="M140" s="41">
        <v>0.67060085836909866</v>
      </c>
      <c r="N140" s="41">
        <v>0.63037249283667618</v>
      </c>
      <c r="O140" s="41">
        <v>0.62330316742081449</v>
      </c>
      <c r="P140" s="41">
        <v>0.61995967741935487</v>
      </c>
      <c r="Q140" s="41">
        <v>0.63991323210412143</v>
      </c>
      <c r="R140" s="41">
        <v>0.65860735009671179</v>
      </c>
      <c r="S140" s="41">
        <v>0.65235690235690236</v>
      </c>
      <c r="T140" s="89">
        <f t="shared" si="27"/>
        <v>-2.1947516628367691</v>
      </c>
      <c r="U140" s="89">
        <f t="shared" si="28"/>
        <v>2.9053734936087872</v>
      </c>
      <c r="V140" s="89">
        <f t="shared" si="29"/>
        <v>-0.62504477398094282</v>
      </c>
      <c r="W140" s="148"/>
      <c r="X140" s="148"/>
      <c r="Y140" s="148"/>
    </row>
    <row r="141" spans="1:25" x14ac:dyDescent="0.25">
      <c r="A141" s="81" t="s">
        <v>20</v>
      </c>
      <c r="B141" s="40">
        <v>0.54229432213209738</v>
      </c>
      <c r="C141" s="40">
        <v>0.55282331511839711</v>
      </c>
      <c r="D141" s="40">
        <v>0.56133828996282531</v>
      </c>
      <c r="E141" s="40">
        <v>0.54362934362934368</v>
      </c>
      <c r="F141" s="40">
        <v>0.58357558139534882</v>
      </c>
      <c r="G141" s="40">
        <v>0.59079283887468026</v>
      </c>
      <c r="H141" s="40">
        <v>0.56774916013437848</v>
      </c>
      <c r="I141" s="40">
        <v>0.59768907563025209</v>
      </c>
      <c r="J141" s="40">
        <v>0.59136047666335645</v>
      </c>
      <c r="K141" s="40">
        <v>0.57949159844894438</v>
      </c>
      <c r="L141" s="40">
        <v>0.56774697383834438</v>
      </c>
      <c r="M141" s="40">
        <v>0.58985507246376812</v>
      </c>
      <c r="N141" s="40">
        <v>0.53040540540540537</v>
      </c>
      <c r="O141" s="40">
        <v>0.55035460992907803</v>
      </c>
      <c r="P141" s="40">
        <v>0.56089108910891095</v>
      </c>
      <c r="Q141" s="40">
        <v>0.60756972111553786</v>
      </c>
      <c r="R141" s="40">
        <v>0.6111702127659574</v>
      </c>
      <c r="S141" s="40">
        <v>0.63514804202483288</v>
      </c>
      <c r="T141" s="90">
        <f t="shared" si="27"/>
        <v>4.3787565361476428</v>
      </c>
      <c r="U141" s="90">
        <f t="shared" si="28"/>
        <v>8.4793432095754859</v>
      </c>
      <c r="V141" s="90">
        <f t="shared" si="29"/>
        <v>2.3977829258875483</v>
      </c>
      <c r="W141" s="148"/>
      <c r="X141" s="148"/>
      <c r="Y141" s="148"/>
    </row>
    <row r="142" spans="1:25" x14ac:dyDescent="0.25">
      <c r="A142" s="84" t="s">
        <v>336</v>
      </c>
      <c r="B142" s="41">
        <v>0.6428571428571429</v>
      </c>
      <c r="C142" s="41">
        <v>0.55555555555555558</v>
      </c>
      <c r="D142" s="41">
        <v>0.61946902654867253</v>
      </c>
      <c r="E142" s="41">
        <v>0.52702702702702697</v>
      </c>
      <c r="F142" s="41">
        <v>0.6</v>
      </c>
      <c r="G142" s="41">
        <v>0.65384615384615385</v>
      </c>
      <c r="H142" s="41">
        <v>0.66086956521739126</v>
      </c>
      <c r="I142" s="41">
        <v>0.70503597122302153</v>
      </c>
      <c r="J142" s="41">
        <v>0.643598615916955</v>
      </c>
      <c r="K142" s="41">
        <v>0.62535211267605639</v>
      </c>
      <c r="L142" s="41">
        <v>0.63829787234042556</v>
      </c>
      <c r="M142" s="41">
        <v>0.5975232198142415</v>
      </c>
      <c r="N142" s="41">
        <v>0.56495468277945615</v>
      </c>
      <c r="O142" s="41">
        <v>0.68584070796460173</v>
      </c>
      <c r="P142" s="41">
        <v>0.58397932816537468</v>
      </c>
      <c r="Q142" s="41">
        <v>0.63380281690140849</v>
      </c>
      <c r="R142" s="41">
        <v>0.61467889908256879</v>
      </c>
      <c r="S142" s="41">
        <v>0.65439093484419264</v>
      </c>
      <c r="T142" s="89">
        <f t="shared" si="27"/>
        <v>1.0792318927237643</v>
      </c>
      <c r="U142" s="89">
        <f t="shared" si="28"/>
        <v>-3.1449773120409086</v>
      </c>
      <c r="V142" s="89">
        <f t="shared" si="29"/>
        <v>3.9712035761623854</v>
      </c>
      <c r="W142" s="148"/>
      <c r="X142" s="148"/>
      <c r="Y142" s="148"/>
    </row>
    <row r="143" spans="1:25" x14ac:dyDescent="0.25">
      <c r="A143" s="84" t="s">
        <v>337</v>
      </c>
      <c r="B143" s="41">
        <v>0.53145057766367132</v>
      </c>
      <c r="C143" s="41">
        <v>0.55244029075804779</v>
      </c>
      <c r="D143" s="41">
        <v>0.55451713395638624</v>
      </c>
      <c r="E143" s="41">
        <v>0.5457715780296426</v>
      </c>
      <c r="F143" s="41">
        <v>0.58156606851549753</v>
      </c>
      <c r="G143" s="41">
        <v>0.58380681818181823</v>
      </c>
      <c r="H143" s="41">
        <v>0.55398457583547556</v>
      </c>
      <c r="I143" s="41">
        <v>0.57933579335793361</v>
      </c>
      <c r="J143" s="41">
        <v>0.58260869565217388</v>
      </c>
      <c r="K143" s="41">
        <v>0.57121057985757884</v>
      </c>
      <c r="L143" s="41">
        <v>0.55378858746492043</v>
      </c>
      <c r="M143" s="41">
        <v>0.58843732112192326</v>
      </c>
      <c r="N143" s="41">
        <v>0.52383687535898904</v>
      </c>
      <c r="O143" s="41">
        <v>0.5244932432432432</v>
      </c>
      <c r="P143" s="41">
        <v>0.55541947336191055</v>
      </c>
      <c r="Q143" s="41">
        <v>0.60193587416817906</v>
      </c>
      <c r="R143" s="41">
        <v>0.61043142305215714</v>
      </c>
      <c r="S143" s="41">
        <v>0.63124641010913263</v>
      </c>
      <c r="T143" s="89">
        <f t="shared" si="27"/>
        <v>4.8637714456958747</v>
      </c>
      <c r="U143" s="89">
        <f t="shared" si="28"/>
        <v>10.675316686588943</v>
      </c>
      <c r="V143" s="89">
        <f t="shared" si="29"/>
        <v>2.0814987056975487</v>
      </c>
      <c r="W143" s="148"/>
      <c r="X143" s="148"/>
      <c r="Y143" s="148"/>
    </row>
    <row r="144" spans="1:25" x14ac:dyDescent="0.25">
      <c r="A144" s="81" t="s">
        <v>22</v>
      </c>
      <c r="B144" s="40">
        <v>0.60083160083160081</v>
      </c>
      <c r="C144" s="40">
        <v>0.64308681672025725</v>
      </c>
      <c r="D144" s="40">
        <v>0.75276125743415467</v>
      </c>
      <c r="E144" s="40">
        <v>0.68642160540135033</v>
      </c>
      <c r="F144" s="40">
        <v>0.63138948884089274</v>
      </c>
      <c r="G144" s="40">
        <v>0.55741279069767447</v>
      </c>
      <c r="H144" s="40">
        <v>0.60384870603848706</v>
      </c>
      <c r="I144" s="40">
        <v>0.59784075573549256</v>
      </c>
      <c r="J144" s="40">
        <v>0.5961768219832736</v>
      </c>
      <c r="K144" s="40">
        <v>0.61759530791788853</v>
      </c>
      <c r="L144" s="40">
        <v>0.671609006040637</v>
      </c>
      <c r="M144" s="40">
        <v>0.68775933609958506</v>
      </c>
      <c r="N144" s="40">
        <v>0.64107883817427391</v>
      </c>
      <c r="O144" s="40">
        <v>0.59330406147091108</v>
      </c>
      <c r="P144" s="40">
        <v>0.69550930996714133</v>
      </c>
      <c r="Q144" s="40">
        <v>0.74263479710950531</v>
      </c>
      <c r="R144" s="40">
        <v>0.74234424498416052</v>
      </c>
      <c r="S144" s="40">
        <v>0.74603936629860779</v>
      </c>
      <c r="T144" s="90">
        <f t="shared" si="27"/>
        <v>14.986254431533419</v>
      </c>
      <c r="U144" s="90">
        <f t="shared" si="28"/>
        <v>15.273530482769671</v>
      </c>
      <c r="V144" s="90">
        <f t="shared" si="29"/>
        <v>0.36951213144472694</v>
      </c>
      <c r="W144" s="148"/>
      <c r="X144" s="148"/>
      <c r="Y144" s="148"/>
    </row>
    <row r="145" spans="1:25" x14ac:dyDescent="0.25">
      <c r="A145" s="84" t="s">
        <v>336</v>
      </c>
      <c r="B145" s="41">
        <v>0.6964285714285714</v>
      </c>
      <c r="C145" s="41">
        <v>0.71311475409836067</v>
      </c>
      <c r="D145" s="41">
        <v>0.77966101694915257</v>
      </c>
      <c r="E145" s="41">
        <v>0.72271386430678464</v>
      </c>
      <c r="F145" s="41">
        <v>0.69108280254777066</v>
      </c>
      <c r="G145" s="41">
        <v>0.61872909698996659</v>
      </c>
      <c r="H145" s="41">
        <v>0.70140845070422531</v>
      </c>
      <c r="I145" s="41">
        <v>0.6428571428571429</v>
      </c>
      <c r="J145" s="41">
        <v>0.58865248226950351</v>
      </c>
      <c r="K145" s="41">
        <v>0.66666666666666663</v>
      </c>
      <c r="L145" s="41">
        <v>0.70880361173814899</v>
      </c>
      <c r="M145" s="41">
        <v>0.72077922077922074</v>
      </c>
      <c r="N145" s="41">
        <v>0.67500000000000004</v>
      </c>
      <c r="O145" s="41">
        <v>0.64666666666666661</v>
      </c>
      <c r="P145" s="41">
        <v>0.72943722943722944</v>
      </c>
      <c r="Q145" s="41">
        <v>0.75794621026894871</v>
      </c>
      <c r="R145" s="41">
        <v>0.77114427860696522</v>
      </c>
      <c r="S145" s="41">
        <v>0.8</v>
      </c>
      <c r="T145" s="89">
        <f t="shared" si="27"/>
        <v>21.134751773049654</v>
      </c>
      <c r="U145" s="89">
        <f t="shared" si="28"/>
        <v>15.333333333333343</v>
      </c>
      <c r="V145" s="89">
        <f t="shared" si="29"/>
        <v>2.8855721393034828</v>
      </c>
      <c r="W145" s="148"/>
      <c r="X145" s="148"/>
      <c r="Y145" s="148"/>
    </row>
    <row r="146" spans="1:25" x14ac:dyDescent="0.25">
      <c r="A146" s="84" t="s">
        <v>337</v>
      </c>
      <c r="B146" s="41">
        <v>0.57181571815718157</v>
      </c>
      <c r="C146" s="41">
        <v>0.6182873730043541</v>
      </c>
      <c r="D146" s="41">
        <v>0.74376417233560088</v>
      </c>
      <c r="E146" s="41">
        <v>0.67404426559356134</v>
      </c>
      <c r="F146" s="41">
        <v>0.61395348837209307</v>
      </c>
      <c r="G146" s="41">
        <v>0.54038997214484674</v>
      </c>
      <c r="H146" s="41">
        <v>0.57378472222222221</v>
      </c>
      <c r="I146" s="41">
        <v>0.58464223385689351</v>
      </c>
      <c r="J146" s="41">
        <v>0.59872102318145481</v>
      </c>
      <c r="K146" s="41">
        <v>0.6027501909854851</v>
      </c>
      <c r="L146" s="41">
        <v>0.65965166908563133</v>
      </c>
      <c r="M146" s="41">
        <v>0.67735334242837653</v>
      </c>
      <c r="N146" s="41">
        <v>0.62983425414364635</v>
      </c>
      <c r="O146" s="41">
        <v>0.57580174927113703</v>
      </c>
      <c r="P146" s="41">
        <v>0.68401759530791784</v>
      </c>
      <c r="Q146" s="41">
        <v>0.73812949640287773</v>
      </c>
      <c r="R146" s="41">
        <v>0.73458445040214482</v>
      </c>
      <c r="S146" s="41">
        <v>0.72762395363811971</v>
      </c>
      <c r="T146" s="89">
        <f t="shared" si="27"/>
        <v>12.890293045666489</v>
      </c>
      <c r="U146" s="89">
        <f t="shared" si="28"/>
        <v>15.182220436698268</v>
      </c>
      <c r="V146" s="89">
        <f t="shared" si="29"/>
        <v>-0.69604967640251036</v>
      </c>
      <c r="W146" s="148"/>
      <c r="X146" s="148"/>
      <c r="Y146" s="148"/>
    </row>
    <row r="147" spans="1:25" x14ac:dyDescent="0.25">
      <c r="A147" s="73" t="s">
        <v>223</v>
      </c>
      <c r="W147" s="148"/>
      <c r="X147" s="148"/>
      <c r="Y147" s="148"/>
    </row>
    <row r="148" spans="1:25" x14ac:dyDescent="0.25">
      <c r="W148" s="148"/>
      <c r="X148" s="148"/>
      <c r="Y148" s="148"/>
    </row>
    <row r="149" spans="1:25" ht="18" x14ac:dyDescent="0.25">
      <c r="A149" s="11" t="s">
        <v>460</v>
      </c>
      <c r="B149" s="11"/>
      <c r="C149" s="11"/>
      <c r="D149" s="11"/>
      <c r="E149" s="11"/>
      <c r="F149" s="11"/>
      <c r="G149" s="11"/>
      <c r="W149" s="148"/>
      <c r="X149" s="148"/>
      <c r="Y149" s="148"/>
    </row>
    <row r="150" spans="1:25" ht="45" customHeight="1" x14ac:dyDescent="0.25">
      <c r="A150" s="14" t="s">
        <v>331</v>
      </c>
      <c r="B150" s="38">
        <v>2007</v>
      </c>
      <c r="C150" s="38">
        <v>2008</v>
      </c>
      <c r="D150" s="38">
        <v>2009</v>
      </c>
      <c r="E150" s="38">
        <v>2010</v>
      </c>
      <c r="F150" s="38">
        <v>2011</v>
      </c>
      <c r="G150" s="38">
        <v>2012</v>
      </c>
      <c r="H150" s="38">
        <v>2013</v>
      </c>
      <c r="I150" s="38">
        <v>2014</v>
      </c>
      <c r="J150" s="38">
        <v>2015</v>
      </c>
      <c r="K150" s="38">
        <v>2016</v>
      </c>
      <c r="L150" s="38">
        <v>2017</v>
      </c>
      <c r="M150" s="38">
        <v>2018</v>
      </c>
      <c r="N150" s="38">
        <v>2019</v>
      </c>
      <c r="O150" s="38">
        <v>2020</v>
      </c>
      <c r="P150" s="38">
        <v>2021</v>
      </c>
      <c r="Q150" s="38">
        <v>2022</v>
      </c>
      <c r="R150" s="38">
        <v>2023</v>
      </c>
      <c r="S150" s="38">
        <v>2024</v>
      </c>
      <c r="T150" s="39" t="s">
        <v>373</v>
      </c>
      <c r="U150" s="39" t="s">
        <v>374</v>
      </c>
      <c r="V150" s="39" t="s">
        <v>375</v>
      </c>
      <c r="W150" s="148"/>
      <c r="X150" s="148"/>
      <c r="Y150" s="148"/>
    </row>
    <row r="151" spans="1:25" x14ac:dyDescent="0.25">
      <c r="A151" s="81" t="s">
        <v>34</v>
      </c>
      <c r="B151" s="40">
        <v>0.58728652751423149</v>
      </c>
      <c r="C151" s="40">
        <v>0.63896848137535822</v>
      </c>
      <c r="D151" s="40">
        <v>0.63869731800766283</v>
      </c>
      <c r="E151" s="40">
        <v>0.60754583921015515</v>
      </c>
      <c r="F151" s="40">
        <v>0.59829059829059827</v>
      </c>
      <c r="G151" s="40">
        <v>0.63814180929095354</v>
      </c>
      <c r="H151" s="40">
        <v>0.66877828054298638</v>
      </c>
      <c r="I151" s="40">
        <v>0.70359281437125754</v>
      </c>
      <c r="J151" s="40">
        <v>0.71669477234401346</v>
      </c>
      <c r="K151" s="40">
        <v>0.7057886351566649</v>
      </c>
      <c r="L151" s="40">
        <v>0.72943722943722944</v>
      </c>
      <c r="M151" s="40">
        <v>0.77131474103585662</v>
      </c>
      <c r="N151" s="40">
        <v>0.72097498396407955</v>
      </c>
      <c r="O151" s="40">
        <v>0.70879842416283656</v>
      </c>
      <c r="P151" s="40">
        <v>0.69756001574183391</v>
      </c>
      <c r="Q151" s="40">
        <v>0.7638865296415831</v>
      </c>
      <c r="R151" s="40">
        <v>0.77801494130202775</v>
      </c>
      <c r="S151" s="40">
        <v>0.78793103448275859</v>
      </c>
      <c r="T151" s="90">
        <f t="shared" ref="T151:T180" si="30">(S151-J151)*100</f>
        <v>7.1236262138745126</v>
      </c>
      <c r="U151" s="90">
        <f t="shared" ref="U151:U180" si="31">(S151-O151)*100</f>
        <v>7.913261031992203</v>
      </c>
      <c r="V151" s="90">
        <f t="shared" ref="V151:V180" si="32">(S151-R151)*100</f>
        <v>0.99160931807308339</v>
      </c>
      <c r="W151" s="148"/>
      <c r="X151" s="148"/>
      <c r="Y151" s="148"/>
    </row>
    <row r="152" spans="1:25" x14ac:dyDescent="0.25">
      <c r="A152" s="84" t="s">
        <v>336</v>
      </c>
      <c r="B152" s="41">
        <v>0.62142857142857144</v>
      </c>
      <c r="C152" s="41">
        <v>0.6312292358803987</v>
      </c>
      <c r="D152" s="41">
        <v>0.63749999999999996</v>
      </c>
      <c r="E152" s="41">
        <v>0.53698630136986303</v>
      </c>
      <c r="F152" s="41">
        <v>0.58012820512820518</v>
      </c>
      <c r="G152" s="41">
        <v>0.66820276497695852</v>
      </c>
      <c r="H152" s="41">
        <v>0.71207430340557276</v>
      </c>
      <c r="I152" s="41">
        <v>0.66515837104072395</v>
      </c>
      <c r="J152" s="41">
        <v>0.68269230769230771</v>
      </c>
      <c r="K152" s="41">
        <v>0.66666666666666663</v>
      </c>
      <c r="L152" s="41">
        <v>0.72692307692307689</v>
      </c>
      <c r="M152" s="41">
        <v>0.73529411764705888</v>
      </c>
      <c r="N152" s="41">
        <v>0.72625698324022347</v>
      </c>
      <c r="O152" s="41">
        <v>0.70140845070422531</v>
      </c>
      <c r="P152" s="41">
        <v>0.66126418152350086</v>
      </c>
      <c r="Q152" s="41">
        <v>0.70422535211267601</v>
      </c>
      <c r="R152" s="41">
        <v>0.76975945017182135</v>
      </c>
      <c r="S152" s="41">
        <v>0.76693227091633465</v>
      </c>
      <c r="T152" s="89">
        <f t="shared" si="30"/>
        <v>8.4239963224026937</v>
      </c>
      <c r="U152" s="89">
        <f t="shared" si="31"/>
        <v>6.552382021210934</v>
      </c>
      <c r="V152" s="89">
        <f t="shared" si="32"/>
        <v>-0.28271792554867003</v>
      </c>
      <c r="W152" s="148"/>
      <c r="X152" s="148"/>
      <c r="Y152" s="148"/>
    </row>
    <row r="153" spans="1:25" x14ac:dyDescent="0.25">
      <c r="A153" s="84" t="s">
        <v>337</v>
      </c>
      <c r="B153" s="41">
        <v>0.58205689277899342</v>
      </c>
      <c r="C153" s="41">
        <v>0.6402677077523703</v>
      </c>
      <c r="D153" s="41">
        <v>0.63891402714932122</v>
      </c>
      <c r="E153" s="41">
        <v>0.61796843383245648</v>
      </c>
      <c r="F153" s="41">
        <v>0.60093240093240097</v>
      </c>
      <c r="G153" s="41">
        <v>0.6345733041575492</v>
      </c>
      <c r="H153" s="41">
        <v>0.66136724960254367</v>
      </c>
      <c r="I153" s="41">
        <v>0.70835670218732472</v>
      </c>
      <c r="J153" s="41">
        <v>0.72119669000636533</v>
      </c>
      <c r="K153" s="41">
        <v>0.71030805687203791</v>
      </c>
      <c r="L153" s="41">
        <v>0.72975609756097559</v>
      </c>
      <c r="M153" s="41">
        <v>0.77569258266309205</v>
      </c>
      <c r="N153" s="41">
        <v>0.72028985507246379</v>
      </c>
      <c r="O153" s="41">
        <v>0.70977331846897063</v>
      </c>
      <c r="P153" s="41">
        <v>0.702575587905935</v>
      </c>
      <c r="Q153" s="41">
        <v>0.77206876569441762</v>
      </c>
      <c r="R153" s="41">
        <v>0.77928244811818503</v>
      </c>
      <c r="S153" s="41">
        <v>0.7914707857622566</v>
      </c>
      <c r="T153" s="89">
        <f t="shared" si="30"/>
        <v>7.027409575589127</v>
      </c>
      <c r="U153" s="89">
        <f t="shared" si="31"/>
        <v>8.1697467293285975</v>
      </c>
      <c r="V153" s="89">
        <f t="shared" si="32"/>
        <v>1.2188337644071567</v>
      </c>
      <c r="W153" s="148"/>
      <c r="X153" s="148"/>
      <c r="Y153" s="148"/>
    </row>
    <row r="154" spans="1:25" x14ac:dyDescent="0.25">
      <c r="A154" s="81" t="s">
        <v>15</v>
      </c>
      <c r="B154" s="40">
        <v>0.68808685446009388</v>
      </c>
      <c r="C154" s="40">
        <v>0.72272228320526899</v>
      </c>
      <c r="D154" s="40">
        <v>0.69610723466764601</v>
      </c>
      <c r="E154" s="40">
        <v>0.70779388917659247</v>
      </c>
      <c r="F154" s="40">
        <v>0.69428387925497748</v>
      </c>
      <c r="G154" s="40">
        <v>0.67101007300619164</v>
      </c>
      <c r="H154" s="40">
        <v>0.71276381909547737</v>
      </c>
      <c r="I154" s="40">
        <v>0.72511800743195742</v>
      </c>
      <c r="J154" s="40">
        <v>0.7291870714985309</v>
      </c>
      <c r="K154" s="40">
        <v>0.71119766309639731</v>
      </c>
      <c r="L154" s="40">
        <v>0.73056886851427383</v>
      </c>
      <c r="M154" s="40">
        <v>0.72830578512396693</v>
      </c>
      <c r="N154" s="40">
        <v>0.70701281186783549</v>
      </c>
      <c r="O154" s="40">
        <v>0.69516353074883197</v>
      </c>
      <c r="P154" s="40">
        <v>0.71852069269151742</v>
      </c>
      <c r="Q154" s="40">
        <v>0.7142857142857143</v>
      </c>
      <c r="R154" s="40">
        <v>0.72008186852877443</v>
      </c>
      <c r="S154" s="40">
        <v>0.72930334270540453</v>
      </c>
      <c r="T154" s="90">
        <f t="shared" si="30"/>
        <v>1.1627120687363046E-2</v>
      </c>
      <c r="U154" s="90">
        <f t="shared" si="31"/>
        <v>3.4139811956572563</v>
      </c>
      <c r="V154" s="90">
        <f t="shared" si="32"/>
        <v>0.92214741766301067</v>
      </c>
      <c r="W154" s="148"/>
      <c r="X154" s="148"/>
      <c r="Y154" s="148"/>
    </row>
    <row r="155" spans="1:25" x14ac:dyDescent="0.25">
      <c r="A155" s="84" t="s">
        <v>336</v>
      </c>
      <c r="B155" s="41">
        <v>0.70654468684025329</v>
      </c>
      <c r="C155" s="41">
        <v>0.736578947368421</v>
      </c>
      <c r="D155" s="41">
        <v>0.7088942838225557</v>
      </c>
      <c r="E155" s="41">
        <v>0.72174456776614038</v>
      </c>
      <c r="F155" s="41">
        <v>0.71325145442792504</v>
      </c>
      <c r="G155" s="41">
        <v>0.68198468198468198</v>
      </c>
      <c r="H155" s="41">
        <v>0.72802062868369355</v>
      </c>
      <c r="I155" s="41">
        <v>0.73598296664300922</v>
      </c>
      <c r="J155" s="41">
        <v>0.74361334867663986</v>
      </c>
      <c r="K155" s="41">
        <v>0.72687844332434648</v>
      </c>
      <c r="L155" s="41">
        <v>0.74178878221323896</v>
      </c>
      <c r="M155" s="41">
        <v>0.74331683168316831</v>
      </c>
      <c r="N155" s="41">
        <v>0.72336423485153833</v>
      </c>
      <c r="O155" s="41">
        <v>0.7166565164433617</v>
      </c>
      <c r="P155" s="41">
        <v>0.73628488931665059</v>
      </c>
      <c r="Q155" s="41">
        <v>0.731006160164271</v>
      </c>
      <c r="R155" s="41">
        <v>0.7337374334713187</v>
      </c>
      <c r="S155" s="41">
        <v>0.74405674846625769</v>
      </c>
      <c r="T155" s="89">
        <f t="shared" si="30"/>
        <v>4.4339978961782656E-2</v>
      </c>
      <c r="U155" s="89">
        <f t="shared" si="31"/>
        <v>2.7400232022895987</v>
      </c>
      <c r="V155" s="89">
        <f t="shared" si="32"/>
        <v>1.0319314994938988</v>
      </c>
      <c r="W155" s="148"/>
      <c r="X155" s="148"/>
      <c r="Y155" s="148"/>
    </row>
    <row r="156" spans="1:25" x14ac:dyDescent="0.25">
      <c r="A156" s="84" t="s">
        <v>337</v>
      </c>
      <c r="B156" s="41">
        <v>0.59540636042402828</v>
      </c>
      <c r="C156" s="41">
        <v>0.65298013245033115</v>
      </c>
      <c r="D156" s="41">
        <v>0.63278688524590165</v>
      </c>
      <c r="E156" s="41">
        <v>0.640542577241899</v>
      </c>
      <c r="F156" s="41">
        <v>0.60298693217174859</v>
      </c>
      <c r="G156" s="41">
        <v>0.61644591611479027</v>
      </c>
      <c r="H156" s="41">
        <v>0.64396456256921375</v>
      </c>
      <c r="I156" s="41">
        <v>0.66400532268795742</v>
      </c>
      <c r="J156" s="41">
        <v>0.64671052631578951</v>
      </c>
      <c r="K156" s="41">
        <v>0.63427257044278318</v>
      </c>
      <c r="L156" s="41">
        <v>0.67776456599286561</v>
      </c>
      <c r="M156" s="41">
        <v>0.65249999999999997</v>
      </c>
      <c r="N156" s="41">
        <v>0.62336769759450172</v>
      </c>
      <c r="O156" s="41">
        <v>0.59067357512953367</v>
      </c>
      <c r="P156" s="41">
        <v>0.6411733892090099</v>
      </c>
      <c r="Q156" s="41">
        <v>0.63860032804811373</v>
      </c>
      <c r="R156" s="41">
        <v>0.66018158236057067</v>
      </c>
      <c r="S156" s="41">
        <v>0.66441821247892074</v>
      </c>
      <c r="T156" s="89">
        <f t="shared" si="30"/>
        <v>1.7707686163131231</v>
      </c>
      <c r="U156" s="89">
        <f t="shared" si="31"/>
        <v>7.3744637349387077</v>
      </c>
      <c r="V156" s="89">
        <f t="shared" si="32"/>
        <v>0.4236630118350071</v>
      </c>
      <c r="W156" s="148"/>
      <c r="X156" s="148"/>
      <c r="Y156" s="148"/>
    </row>
    <row r="157" spans="1:25" x14ac:dyDescent="0.25">
      <c r="A157" s="81" t="s">
        <v>28</v>
      </c>
      <c r="B157" s="40">
        <v>0.52021432050657579</v>
      </c>
      <c r="C157" s="40">
        <v>0.61448598130841126</v>
      </c>
      <c r="D157" s="40">
        <v>0.58105198400492153</v>
      </c>
      <c r="E157" s="40">
        <v>0.57644882860665847</v>
      </c>
      <c r="F157" s="40">
        <v>0.60477595921652805</v>
      </c>
      <c r="G157" s="40">
        <v>0.64413145539906103</v>
      </c>
      <c r="H157" s="40">
        <v>0.63402597402597405</v>
      </c>
      <c r="I157" s="40">
        <v>0.6706223628691983</v>
      </c>
      <c r="J157" s="40">
        <v>0.66392177045805456</v>
      </c>
      <c r="K157" s="40">
        <v>0.65458811261730965</v>
      </c>
      <c r="L157" s="40">
        <v>0.65983295368261197</v>
      </c>
      <c r="M157" s="40">
        <v>0.69871360866621535</v>
      </c>
      <c r="N157" s="40">
        <v>0.68684267010088007</v>
      </c>
      <c r="O157" s="40">
        <v>0.71142236174836992</v>
      </c>
      <c r="P157" s="40">
        <v>0.68568207440811724</v>
      </c>
      <c r="Q157" s="40">
        <v>0.70169082125603865</v>
      </c>
      <c r="R157" s="40">
        <v>0.71156025689459768</v>
      </c>
      <c r="S157" s="40">
        <v>0.71322094055013308</v>
      </c>
      <c r="T157" s="90">
        <f t="shared" si="30"/>
        <v>4.9299170092078519</v>
      </c>
      <c r="U157" s="90">
        <f t="shared" si="31"/>
        <v>0.1798578801763151</v>
      </c>
      <c r="V157" s="90">
        <f t="shared" si="32"/>
        <v>0.16606836555353999</v>
      </c>
      <c r="W157" s="148"/>
      <c r="X157" s="148"/>
      <c r="Y157" s="148"/>
    </row>
    <row r="158" spans="1:25" x14ac:dyDescent="0.25">
      <c r="A158" s="84" t="s">
        <v>336</v>
      </c>
      <c r="B158" s="41">
        <v>0.54317269076305219</v>
      </c>
      <c r="C158" s="41">
        <v>0.65849802371541499</v>
      </c>
      <c r="D158" s="41">
        <v>0.62414436838830123</v>
      </c>
      <c r="E158" s="41">
        <v>0.59645793801391522</v>
      </c>
      <c r="F158" s="41">
        <v>0.64634816035145526</v>
      </c>
      <c r="G158" s="41">
        <v>0.69225847728726808</v>
      </c>
      <c r="H158" s="41">
        <v>0.67142129393785022</v>
      </c>
      <c r="I158" s="41">
        <v>0.69750000000000001</v>
      </c>
      <c r="J158" s="41">
        <v>0.70805998125585756</v>
      </c>
      <c r="K158" s="41">
        <v>0.69415148609779487</v>
      </c>
      <c r="L158" s="41">
        <v>0.69160583941605835</v>
      </c>
      <c r="M158" s="41">
        <v>0.73050779688124745</v>
      </c>
      <c r="N158" s="41">
        <v>0.71921005385996406</v>
      </c>
      <c r="O158" s="41">
        <v>0.7502050861361772</v>
      </c>
      <c r="P158" s="41">
        <v>0.70920957215373459</v>
      </c>
      <c r="Q158" s="41">
        <v>0.72751149047931718</v>
      </c>
      <c r="R158" s="41">
        <v>0.73045330088226346</v>
      </c>
      <c r="S158" s="41">
        <v>0.74050449405624819</v>
      </c>
      <c r="T158" s="89">
        <f t="shared" si="30"/>
        <v>3.2444512800390624</v>
      </c>
      <c r="U158" s="89">
        <f t="shared" si="31"/>
        <v>-0.97005920799290157</v>
      </c>
      <c r="V158" s="89">
        <f t="shared" si="32"/>
        <v>1.0051193173984729</v>
      </c>
      <c r="W158" s="148"/>
      <c r="X158" s="148"/>
      <c r="Y158" s="148"/>
    </row>
    <row r="159" spans="1:25" x14ac:dyDescent="0.25">
      <c r="A159" s="84" t="s">
        <v>337</v>
      </c>
      <c r="B159" s="41">
        <v>0.49858088930936612</v>
      </c>
      <c r="C159" s="41">
        <v>0.57175748273215654</v>
      </c>
      <c r="D159" s="41">
        <v>0.53892944038929436</v>
      </c>
      <c r="E159" s="41">
        <v>0.55742633794347562</v>
      </c>
      <c r="F159" s="41">
        <v>0.56505771248688352</v>
      </c>
      <c r="G159" s="41">
        <v>0.59803921568627449</v>
      </c>
      <c r="H159" s="41">
        <v>0.59512453630100692</v>
      </c>
      <c r="I159" s="41">
        <v>0.640625</v>
      </c>
      <c r="J159" s="41">
        <v>0.61015981735159819</v>
      </c>
      <c r="K159" s="41">
        <v>0.60742857142857143</v>
      </c>
      <c r="L159" s="41">
        <v>0.62023877202956224</v>
      </c>
      <c r="M159" s="41">
        <v>0.65751295336787563</v>
      </c>
      <c r="N159" s="41">
        <v>0.63874066168623267</v>
      </c>
      <c r="O159" s="41">
        <v>0.65590135055783916</v>
      </c>
      <c r="P159" s="41">
        <v>0.64698867024448414</v>
      </c>
      <c r="Q159" s="41">
        <v>0.66077003121748179</v>
      </c>
      <c r="R159" s="41">
        <v>0.68061783756851024</v>
      </c>
      <c r="S159" s="41">
        <v>0.67017383348581883</v>
      </c>
      <c r="T159" s="89">
        <f t="shared" si="30"/>
        <v>6.0014016134220638</v>
      </c>
      <c r="U159" s="89">
        <f t="shared" si="31"/>
        <v>1.4272482927979668</v>
      </c>
      <c r="V159" s="89">
        <f t="shared" si="32"/>
        <v>-1.0444004082691416</v>
      </c>
      <c r="W159" s="148"/>
      <c r="X159" s="148"/>
      <c r="Y159" s="148"/>
    </row>
    <row r="160" spans="1:25" x14ac:dyDescent="0.25">
      <c r="A160" s="81" t="s">
        <v>33</v>
      </c>
      <c r="B160" s="40">
        <v>0.69610091743119262</v>
      </c>
      <c r="C160" s="40">
        <v>0.65587240212663123</v>
      </c>
      <c r="D160" s="40">
        <v>0.69461410327595785</v>
      </c>
      <c r="E160" s="40">
        <v>0.72268135904499542</v>
      </c>
      <c r="F160" s="40">
        <v>0.7053849577214063</v>
      </c>
      <c r="G160" s="40">
        <v>0.70270270270270274</v>
      </c>
      <c r="H160" s="40">
        <v>0.72034671532846717</v>
      </c>
      <c r="I160" s="40">
        <v>0.75716768027801906</v>
      </c>
      <c r="J160" s="40">
        <v>0.75044404973357015</v>
      </c>
      <c r="K160" s="40">
        <v>0.75557056043214044</v>
      </c>
      <c r="L160" s="40">
        <v>0.79709267110841919</v>
      </c>
      <c r="M160" s="40">
        <v>0.81726327944572752</v>
      </c>
      <c r="N160" s="40">
        <v>0.77768838830785736</v>
      </c>
      <c r="O160" s="40">
        <v>0.68698132780082988</v>
      </c>
      <c r="P160" s="40">
        <v>0.7519013899816418</v>
      </c>
      <c r="Q160" s="40">
        <v>0.811259806183664</v>
      </c>
      <c r="R160" s="40">
        <v>0.83041530944625408</v>
      </c>
      <c r="S160" s="40">
        <v>0.8064452352708581</v>
      </c>
      <c r="T160" s="90">
        <f t="shared" si="30"/>
        <v>5.6001185537287945</v>
      </c>
      <c r="U160" s="90">
        <f t="shared" si="31"/>
        <v>11.946390747002821</v>
      </c>
      <c r="V160" s="90">
        <f t="shared" si="32"/>
        <v>-2.3970074175395983</v>
      </c>
      <c r="W160" s="148"/>
      <c r="X160" s="148"/>
      <c r="Y160" s="148"/>
    </row>
    <row r="161" spans="1:25" x14ac:dyDescent="0.25">
      <c r="A161" s="84" t="s">
        <v>336</v>
      </c>
      <c r="B161" s="41">
        <v>0.53846153846153844</v>
      </c>
      <c r="C161" s="41">
        <v>0.60416666666666663</v>
      </c>
      <c r="D161" s="41">
        <v>0.72727272727272729</v>
      </c>
      <c r="E161" s="41">
        <v>0.68965517241379315</v>
      </c>
      <c r="F161" s="41">
        <v>0.61111111111111116</v>
      </c>
      <c r="G161" s="41">
        <v>0.70967741935483875</v>
      </c>
      <c r="H161" s="41">
        <v>0.72891566265060237</v>
      </c>
      <c r="I161" s="41">
        <v>0.71186440677966101</v>
      </c>
      <c r="J161" s="41">
        <v>0.70833333333333337</v>
      </c>
      <c r="K161" s="41">
        <v>0.69230769230769229</v>
      </c>
      <c r="L161" s="41">
        <v>0.7142857142857143</v>
      </c>
      <c r="M161" s="41">
        <v>0.79411764705882348</v>
      </c>
      <c r="N161" s="41">
        <v>0.69696969696969702</v>
      </c>
      <c r="O161" s="41">
        <v>0.73248407643312097</v>
      </c>
      <c r="P161" s="41">
        <v>0.71823204419889508</v>
      </c>
      <c r="Q161" s="41">
        <v>0.79523809523809519</v>
      </c>
      <c r="R161" s="41">
        <v>0.8208333333333333</v>
      </c>
      <c r="S161" s="41">
        <v>0.79545454545454541</v>
      </c>
      <c r="T161" s="89">
        <f t="shared" si="30"/>
        <v>8.7121212121212039</v>
      </c>
      <c r="U161" s="89">
        <f t="shared" si="31"/>
        <v>6.2970469021424442</v>
      </c>
      <c r="V161" s="89">
        <f t="shared" si="32"/>
        <v>-2.537878787878789</v>
      </c>
      <c r="W161" s="148"/>
      <c r="X161" s="148"/>
      <c r="Y161" s="148"/>
    </row>
    <row r="162" spans="1:25" x14ac:dyDescent="0.25">
      <c r="A162" s="84" t="s">
        <v>337</v>
      </c>
      <c r="B162" s="41">
        <v>0.69768339768339771</v>
      </c>
      <c r="C162" s="41">
        <v>0.65710044532409695</v>
      </c>
      <c r="D162" s="41">
        <v>0.69421023046655428</v>
      </c>
      <c r="E162" s="41">
        <v>0.72312703583061888</v>
      </c>
      <c r="F162" s="41">
        <v>0.70691994572591588</v>
      </c>
      <c r="G162" s="41">
        <v>0.70258620689655171</v>
      </c>
      <c r="H162" s="41">
        <v>0.71964461994077</v>
      </c>
      <c r="I162" s="41">
        <v>0.75835934016941597</v>
      </c>
      <c r="J162" s="41">
        <v>0.75183486238532105</v>
      </c>
      <c r="K162" s="41">
        <v>0.75757575757575757</v>
      </c>
      <c r="L162" s="41">
        <v>0.79943942696979131</v>
      </c>
      <c r="M162" s="41">
        <v>0.81820913461538458</v>
      </c>
      <c r="N162" s="41">
        <v>0.78142536475869806</v>
      </c>
      <c r="O162" s="41">
        <v>0.68505001351716677</v>
      </c>
      <c r="P162" s="41">
        <v>0.75357929515418498</v>
      </c>
      <c r="Q162" s="41">
        <v>0.81207565470417076</v>
      </c>
      <c r="R162" s="41">
        <v>0.83090753424657537</v>
      </c>
      <c r="S162" s="41">
        <v>0.80737880737880741</v>
      </c>
      <c r="T162" s="89">
        <f t="shared" si="30"/>
        <v>5.5543944993486356</v>
      </c>
      <c r="U162" s="89">
        <f t="shared" si="31"/>
        <v>12.232879386164065</v>
      </c>
      <c r="V162" s="89">
        <f t="shared" si="32"/>
        <v>-2.3528726867767968</v>
      </c>
      <c r="W162" s="148"/>
      <c r="X162" s="148"/>
      <c r="Y162" s="148"/>
    </row>
    <row r="163" spans="1:25" x14ac:dyDescent="0.25">
      <c r="A163" s="81" t="s">
        <v>16</v>
      </c>
      <c r="B163" s="40">
        <v>0.54908835904628328</v>
      </c>
      <c r="C163" s="40">
        <v>0.6475044563279857</v>
      </c>
      <c r="D163" s="40">
        <v>0.62056414922656966</v>
      </c>
      <c r="E163" s="40">
        <v>0.60643564356435642</v>
      </c>
      <c r="F163" s="40">
        <v>0.64959944270289094</v>
      </c>
      <c r="G163" s="40">
        <v>0.63559925894256808</v>
      </c>
      <c r="H163" s="40">
        <v>0.66886326194398682</v>
      </c>
      <c r="I163" s="40">
        <v>0.67032050518289055</v>
      </c>
      <c r="J163" s="40">
        <v>0.68226099989294509</v>
      </c>
      <c r="K163" s="40">
        <v>0.68101898101898106</v>
      </c>
      <c r="L163" s="40">
        <v>0.66996442863494887</v>
      </c>
      <c r="M163" s="40">
        <v>0.68264918937564678</v>
      </c>
      <c r="N163" s="40">
        <v>0.64359609500218562</v>
      </c>
      <c r="O163" s="40">
        <v>0.65608180839612484</v>
      </c>
      <c r="P163" s="40">
        <v>0.66703296703296699</v>
      </c>
      <c r="Q163" s="40">
        <v>0.67243767313019387</v>
      </c>
      <c r="R163" s="40">
        <v>0.67053588701876576</v>
      </c>
      <c r="S163" s="40">
        <v>0.67210617928633598</v>
      </c>
      <c r="T163" s="90">
        <f t="shared" si="30"/>
        <v>-1.0154820606609105</v>
      </c>
      <c r="U163" s="90">
        <f t="shared" si="31"/>
        <v>1.6024370890211137</v>
      </c>
      <c r="V163" s="90">
        <f t="shared" si="32"/>
        <v>0.15702922675702169</v>
      </c>
      <c r="W163" s="148"/>
      <c r="X163" s="148"/>
      <c r="Y163" s="148"/>
    </row>
    <row r="164" spans="1:25" x14ac:dyDescent="0.25">
      <c r="A164" s="84" t="s">
        <v>336</v>
      </c>
      <c r="B164" s="41">
        <v>0.57317073170731703</v>
      </c>
      <c r="C164" s="41">
        <v>0.6952614379084967</v>
      </c>
      <c r="D164" s="41">
        <v>0.66226622662266221</v>
      </c>
      <c r="E164" s="41">
        <v>0.63836603924709656</v>
      </c>
      <c r="F164" s="41">
        <v>0.7</v>
      </c>
      <c r="G164" s="41">
        <v>0.67759011847743889</v>
      </c>
      <c r="H164" s="41">
        <v>0.71029135338345861</v>
      </c>
      <c r="I164" s="41">
        <v>0.7076227655640025</v>
      </c>
      <c r="J164" s="41">
        <v>0.71670034907220281</v>
      </c>
      <c r="K164" s="41">
        <v>0.71253071253071254</v>
      </c>
      <c r="L164" s="41">
        <v>0.70647453612317412</v>
      </c>
      <c r="M164" s="41">
        <v>0.71413807358412562</v>
      </c>
      <c r="N164" s="41">
        <v>0.68568491390388076</v>
      </c>
      <c r="O164" s="41">
        <v>0.70009285051067782</v>
      </c>
      <c r="P164" s="41">
        <v>0.70673224715647098</v>
      </c>
      <c r="Q164" s="41">
        <v>0.69870349492671924</v>
      </c>
      <c r="R164" s="41">
        <v>0.68914776210913553</v>
      </c>
      <c r="S164" s="41">
        <v>0.69297635605006958</v>
      </c>
      <c r="T164" s="89">
        <f t="shared" si="30"/>
        <v>-2.3723993022133238</v>
      </c>
      <c r="U164" s="89">
        <f t="shared" si="31"/>
        <v>-0.7116494460608247</v>
      </c>
      <c r="V164" s="89">
        <f t="shared" si="32"/>
        <v>0.38285939409340441</v>
      </c>
      <c r="W164" s="148"/>
      <c r="X164" s="148"/>
      <c r="Y164" s="148"/>
    </row>
    <row r="165" spans="1:25" x14ac:dyDescent="0.25">
      <c r="A165" s="84" t="s">
        <v>337</v>
      </c>
      <c r="B165" s="41">
        <v>0.52325581395348841</v>
      </c>
      <c r="C165" s="41">
        <v>0.59019607843137256</v>
      </c>
      <c r="D165" s="41">
        <v>0.56930358350236643</v>
      </c>
      <c r="E165" s="41">
        <v>0.56548536209553157</v>
      </c>
      <c r="F165" s="41">
        <v>0.58704137392661981</v>
      </c>
      <c r="G165" s="41">
        <v>0.58098360655737702</v>
      </c>
      <c r="H165" s="41">
        <v>0.61063408190224566</v>
      </c>
      <c r="I165" s="41">
        <v>0.61883153715258088</v>
      </c>
      <c r="J165" s="41">
        <v>0.63417136993329914</v>
      </c>
      <c r="K165" s="41">
        <v>0.63937847866419295</v>
      </c>
      <c r="L165" s="41">
        <v>0.62290076335877864</v>
      </c>
      <c r="M165" s="41">
        <v>0.64317180616740088</v>
      </c>
      <c r="N165" s="41">
        <v>0.58849259757738892</v>
      </c>
      <c r="O165" s="41">
        <v>0.59539052496798972</v>
      </c>
      <c r="P165" s="41">
        <v>0.60851835070231086</v>
      </c>
      <c r="Q165" s="41">
        <v>0.63061041292639142</v>
      </c>
      <c r="R165" s="41">
        <v>0.63869952805453589</v>
      </c>
      <c r="S165" s="41">
        <v>0.63720930232558137</v>
      </c>
      <c r="T165" s="89">
        <f t="shared" si="30"/>
        <v>0.30379323922822277</v>
      </c>
      <c r="U165" s="89">
        <f t="shared" si="31"/>
        <v>4.1818777357591657</v>
      </c>
      <c r="V165" s="89">
        <f t="shared" si="32"/>
        <v>-0.14902257289545195</v>
      </c>
      <c r="W165" s="148"/>
      <c r="X165" s="148"/>
      <c r="Y165" s="148"/>
    </row>
    <row r="166" spans="1:25" x14ac:dyDescent="0.25">
      <c r="A166" s="81" t="s">
        <v>29</v>
      </c>
      <c r="B166" s="40">
        <v>0.61235154394299285</v>
      </c>
      <c r="C166" s="40">
        <v>0.60540970564836916</v>
      </c>
      <c r="D166" s="40">
        <v>0.64888248017303529</v>
      </c>
      <c r="E166" s="40">
        <v>0.61643835616438358</v>
      </c>
      <c r="F166" s="40">
        <v>0.60374365482233505</v>
      </c>
      <c r="G166" s="40">
        <v>0.60878661087866104</v>
      </c>
      <c r="H166" s="40">
        <v>0.64431654676258998</v>
      </c>
      <c r="I166" s="40">
        <v>0.6541850220264317</v>
      </c>
      <c r="J166" s="40">
        <v>0.60129659643435984</v>
      </c>
      <c r="K166" s="40">
        <v>0.63483735571878275</v>
      </c>
      <c r="L166" s="40">
        <v>0.62985179957657023</v>
      </c>
      <c r="M166" s="40">
        <v>0.74378777703156485</v>
      </c>
      <c r="N166" s="40">
        <v>0.72292870905587669</v>
      </c>
      <c r="O166" s="40">
        <v>0.7500851208716377</v>
      </c>
      <c r="P166" s="40">
        <v>0.73003618817852833</v>
      </c>
      <c r="Q166" s="40">
        <v>0.74480642115203022</v>
      </c>
      <c r="R166" s="40">
        <v>0.72564338235294112</v>
      </c>
      <c r="S166" s="40">
        <v>0.75432610285157198</v>
      </c>
      <c r="T166" s="90">
        <f t="shared" si="30"/>
        <v>15.302950641721214</v>
      </c>
      <c r="U166" s="90">
        <f t="shared" si="31"/>
        <v>0.42409819799342774</v>
      </c>
      <c r="V166" s="90">
        <f t="shared" si="32"/>
        <v>2.8682720498630854</v>
      </c>
      <c r="W166" s="148"/>
      <c r="X166" s="148"/>
      <c r="Y166" s="148"/>
    </row>
    <row r="167" spans="1:25" x14ac:dyDescent="0.25">
      <c r="A167" s="84" t="s">
        <v>336</v>
      </c>
      <c r="B167" s="41">
        <v>0.63406010606953445</v>
      </c>
      <c r="C167" s="41">
        <v>0.61888111888111885</v>
      </c>
      <c r="D167" s="41">
        <v>0.66257947320617616</v>
      </c>
      <c r="E167" s="41">
        <v>0.62568405691353524</v>
      </c>
      <c r="F167" s="41">
        <v>0.63551401869158874</v>
      </c>
      <c r="G167" s="41">
        <v>0.62323321554770317</v>
      </c>
      <c r="H167" s="41">
        <v>0.66162919277552523</v>
      </c>
      <c r="I167" s="41">
        <v>0.66458901441371254</v>
      </c>
      <c r="J167" s="41">
        <v>0.6155378486055777</v>
      </c>
      <c r="K167" s="41">
        <v>0.65773286467486825</v>
      </c>
      <c r="L167" s="41">
        <v>0.6424825174825175</v>
      </c>
      <c r="M167" s="41">
        <v>0.75489787411421427</v>
      </c>
      <c r="N167" s="41">
        <v>0.73304050756466566</v>
      </c>
      <c r="O167" s="41">
        <v>0.7642886942010847</v>
      </c>
      <c r="P167" s="41">
        <v>0.74202983328458616</v>
      </c>
      <c r="Q167" s="41">
        <v>0.74495308501563828</v>
      </c>
      <c r="R167" s="41">
        <v>0.73635872501350619</v>
      </c>
      <c r="S167" s="41">
        <v>0.75490196078431371</v>
      </c>
      <c r="T167" s="89">
        <f t="shared" si="30"/>
        <v>13.936411217873601</v>
      </c>
      <c r="U167" s="89">
        <f t="shared" si="31"/>
        <v>-0.9386733416770987</v>
      </c>
      <c r="V167" s="89">
        <f t="shared" si="32"/>
        <v>1.854323577080752</v>
      </c>
      <c r="W167" s="148"/>
      <c r="X167" s="148"/>
      <c r="Y167" s="148"/>
    </row>
    <row r="168" spans="1:25" x14ac:dyDescent="0.25">
      <c r="A168" s="84" t="s">
        <v>337</v>
      </c>
      <c r="B168" s="41">
        <v>0.5220588235294118</v>
      </c>
      <c r="C168" s="41">
        <v>0.552734375</v>
      </c>
      <c r="D168" s="41">
        <v>0.59615384615384615</v>
      </c>
      <c r="E168" s="41">
        <v>0.58322411533420704</v>
      </c>
      <c r="F168" s="41">
        <v>0.49059334298118668</v>
      </c>
      <c r="G168" s="41">
        <v>0.55463576158940397</v>
      </c>
      <c r="H168" s="41">
        <v>0.58267716535433067</v>
      </c>
      <c r="I168" s="41">
        <v>0.61047463175122751</v>
      </c>
      <c r="J168" s="41">
        <v>0.53913043478260869</v>
      </c>
      <c r="K168" s="41">
        <v>0.54545454545454541</v>
      </c>
      <c r="L168" s="41">
        <v>0.57692307692307687</v>
      </c>
      <c r="M168" s="41">
        <v>0.69775474956822103</v>
      </c>
      <c r="N168" s="41">
        <v>0.68498168498168499</v>
      </c>
      <c r="O168" s="41">
        <v>0.687037037037037</v>
      </c>
      <c r="P168" s="41">
        <v>0.67355371900826444</v>
      </c>
      <c r="Q168" s="41">
        <v>0.74408901251738524</v>
      </c>
      <c r="R168" s="41">
        <v>0.66461538461538461</v>
      </c>
      <c r="S168" s="41">
        <v>0.7511811023622047</v>
      </c>
      <c r="T168" s="89">
        <f t="shared" si="30"/>
        <v>21.205066757959599</v>
      </c>
      <c r="U168" s="89">
        <f t="shared" si="31"/>
        <v>6.4144065325167698</v>
      </c>
      <c r="V168" s="89">
        <f t="shared" si="32"/>
        <v>8.6565717746820088</v>
      </c>
      <c r="W168" s="148"/>
      <c r="X168" s="148"/>
      <c r="Y168" s="148"/>
    </row>
    <row r="169" spans="1:25" x14ac:dyDescent="0.25">
      <c r="A169" s="81" t="s">
        <v>19</v>
      </c>
      <c r="B169" s="40">
        <v>0.65646258503401356</v>
      </c>
      <c r="C169" s="40">
        <v>0.75266903914590744</v>
      </c>
      <c r="D169" s="40">
        <v>0.7554426705370102</v>
      </c>
      <c r="E169" s="40">
        <v>0.75409836065573765</v>
      </c>
      <c r="F169" s="40">
        <v>0.72129783693843597</v>
      </c>
      <c r="G169" s="40">
        <v>0.723314606741573</v>
      </c>
      <c r="H169" s="40">
        <v>0.71150190114068446</v>
      </c>
      <c r="I169" s="40">
        <v>0.6864841745081266</v>
      </c>
      <c r="J169" s="40">
        <v>0.6953937592867756</v>
      </c>
      <c r="K169" s="40">
        <v>0.75150638708122441</v>
      </c>
      <c r="L169" s="40">
        <v>0.69172375486021109</v>
      </c>
      <c r="M169" s="40">
        <v>0.75579076545482438</v>
      </c>
      <c r="N169" s="40">
        <v>0.71690166636147223</v>
      </c>
      <c r="O169" s="40">
        <v>0.71858047016274862</v>
      </c>
      <c r="P169" s="40">
        <v>0.72355347749853882</v>
      </c>
      <c r="Q169" s="40">
        <v>0.69302056183029248</v>
      </c>
      <c r="R169" s="40">
        <v>0.70421848329675685</v>
      </c>
      <c r="S169" s="40">
        <v>0.7002305918524212</v>
      </c>
      <c r="T169" s="90">
        <f t="shared" si="30"/>
        <v>0.4836832565645599</v>
      </c>
      <c r="U169" s="90">
        <f t="shared" si="31"/>
        <v>-1.8349878310327417</v>
      </c>
      <c r="V169" s="90">
        <f t="shared" si="32"/>
        <v>-0.3987891444335645</v>
      </c>
      <c r="W169" s="148"/>
      <c r="X169" s="148"/>
      <c r="Y169" s="148"/>
    </row>
    <row r="170" spans="1:25" x14ac:dyDescent="0.25">
      <c r="A170" s="84" t="s">
        <v>336</v>
      </c>
      <c r="B170" s="41">
        <v>0.65529010238907848</v>
      </c>
      <c r="C170" s="41">
        <v>0.75089605734767029</v>
      </c>
      <c r="D170" s="41">
        <v>0.7567567567567568</v>
      </c>
      <c r="E170" s="41">
        <v>0.75490716180371353</v>
      </c>
      <c r="F170" s="41">
        <v>0.72148209825145715</v>
      </c>
      <c r="G170" s="41">
        <v>0.72373358348968109</v>
      </c>
      <c r="H170" s="41">
        <v>0.71108995716325563</v>
      </c>
      <c r="I170" s="41">
        <v>0.68664383561643838</v>
      </c>
      <c r="J170" s="41">
        <v>0.69562630169592388</v>
      </c>
      <c r="K170" s="41">
        <v>0.75150929727119054</v>
      </c>
      <c r="L170" s="41">
        <v>0.6921793921423276</v>
      </c>
      <c r="M170" s="41">
        <v>0.75642011379363372</v>
      </c>
      <c r="N170" s="41">
        <v>0.71769456681350952</v>
      </c>
      <c r="O170" s="41">
        <v>0.71907566832804715</v>
      </c>
      <c r="P170" s="41">
        <v>0.7241278217531516</v>
      </c>
      <c r="Q170" s="41">
        <v>0.69324441867207887</v>
      </c>
      <c r="R170" s="41">
        <v>0.70418399804257403</v>
      </c>
      <c r="S170" s="41">
        <v>0.70193050193050188</v>
      </c>
      <c r="T170" s="89">
        <f t="shared" si="30"/>
        <v>0.63042002345780057</v>
      </c>
      <c r="U170" s="89">
        <f t="shared" si="31"/>
        <v>-1.7145166397545264</v>
      </c>
      <c r="V170" s="89">
        <f t="shared" si="32"/>
        <v>-0.22534961120721508</v>
      </c>
      <c r="W170" s="148"/>
      <c r="X170" s="148"/>
      <c r="Y170" s="148"/>
    </row>
    <row r="171" spans="1:25" x14ac:dyDescent="0.25">
      <c r="A171" s="84" t="s">
        <v>337</v>
      </c>
      <c r="B171" s="41" t="s">
        <v>62</v>
      </c>
      <c r="C171" s="41" t="s">
        <v>62</v>
      </c>
      <c r="D171" s="41" t="s">
        <v>62</v>
      </c>
      <c r="E171" s="41" t="s">
        <v>62</v>
      </c>
      <c r="F171" s="41" t="s">
        <v>62</v>
      </c>
      <c r="G171" s="41" t="s">
        <v>62</v>
      </c>
      <c r="H171" s="41" t="s">
        <v>62</v>
      </c>
      <c r="I171" s="41" t="s">
        <v>62</v>
      </c>
      <c r="J171" s="41" t="s">
        <v>62</v>
      </c>
      <c r="K171" s="41" t="s">
        <v>62</v>
      </c>
      <c r="L171" s="41" t="s">
        <v>62</v>
      </c>
      <c r="M171" s="41">
        <v>0.5</v>
      </c>
      <c r="N171" s="41">
        <v>0.38461538461538464</v>
      </c>
      <c r="O171" s="41">
        <v>0.5</v>
      </c>
      <c r="P171" s="41">
        <v>0.54545454545454541</v>
      </c>
      <c r="Q171" s="41" t="s">
        <v>62</v>
      </c>
      <c r="R171" s="41">
        <v>0.7142857142857143</v>
      </c>
      <c r="S171" s="41">
        <v>0.33333333333333331</v>
      </c>
      <c r="T171" s="41" t="s">
        <v>62</v>
      </c>
      <c r="U171" s="89">
        <f t="shared" si="31"/>
        <v>-16.666666666666668</v>
      </c>
      <c r="V171" s="89">
        <f t="shared" si="32"/>
        <v>-38.095238095238102</v>
      </c>
      <c r="W171" s="148"/>
      <c r="X171" s="148"/>
      <c r="Y171" s="148"/>
    </row>
    <row r="172" spans="1:25" x14ac:dyDescent="0.25">
      <c r="A172" s="81" t="s">
        <v>50</v>
      </c>
      <c r="B172" s="40">
        <v>0.58491847826086951</v>
      </c>
      <c r="C172" s="40">
        <v>0.61680458306810948</v>
      </c>
      <c r="D172" s="40">
        <v>0.64679582712369599</v>
      </c>
      <c r="E172" s="40">
        <v>0.59984152139461178</v>
      </c>
      <c r="F172" s="40">
        <v>0.59417808219178081</v>
      </c>
      <c r="G172" s="40">
        <v>0.58213552361396304</v>
      </c>
      <c r="H172" s="40">
        <v>0.58362128541810643</v>
      </c>
      <c r="I172" s="40">
        <v>0.59194630872483223</v>
      </c>
      <c r="J172" s="40">
        <v>0.60141509433962259</v>
      </c>
      <c r="K172" s="40">
        <v>0.60725652450668366</v>
      </c>
      <c r="L172" s="40">
        <v>0.64741106023247619</v>
      </c>
      <c r="M172" s="40">
        <v>0.66693069306930697</v>
      </c>
      <c r="N172" s="40">
        <v>0.62264150943396224</v>
      </c>
      <c r="O172" s="40">
        <v>0.61154144074360961</v>
      </c>
      <c r="P172" s="40">
        <v>0.63419051068453458</v>
      </c>
      <c r="Q172" s="40">
        <v>0.66536614645858339</v>
      </c>
      <c r="R172" s="40">
        <v>0.6911925601750547</v>
      </c>
      <c r="S172" s="40">
        <v>0.69327354260089691</v>
      </c>
      <c r="T172" s="90">
        <f t="shared" si="30"/>
        <v>9.1858448261274326</v>
      </c>
      <c r="U172" s="90">
        <f t="shared" si="31"/>
        <v>8.1732101857287294</v>
      </c>
      <c r="V172" s="90">
        <f t="shared" si="32"/>
        <v>0.20809824258422038</v>
      </c>
      <c r="W172" s="148"/>
      <c r="X172" s="148"/>
      <c r="Y172" s="148"/>
    </row>
    <row r="173" spans="1:25" x14ac:dyDescent="0.25">
      <c r="A173" s="84" t="s">
        <v>336</v>
      </c>
      <c r="B173" s="41">
        <v>0.611353711790393</v>
      </c>
      <c r="C173" s="41">
        <v>0.56837606837606836</v>
      </c>
      <c r="D173" s="41">
        <v>0.64685314685314688</v>
      </c>
      <c r="E173" s="41">
        <v>0.57771260997067453</v>
      </c>
      <c r="F173" s="41">
        <v>0.60477453580901852</v>
      </c>
      <c r="G173" s="41">
        <v>0.60517799352750812</v>
      </c>
      <c r="H173" s="41">
        <v>0.62260127931769726</v>
      </c>
      <c r="I173" s="41">
        <v>0.56741573033707871</v>
      </c>
      <c r="J173" s="41">
        <v>0.63945578231292521</v>
      </c>
      <c r="K173" s="41">
        <v>0.60704607046070458</v>
      </c>
      <c r="L173" s="41">
        <v>0.67491166077738518</v>
      </c>
      <c r="M173" s="41">
        <v>0.69884169884169889</v>
      </c>
      <c r="N173" s="41">
        <v>0.62352941176470589</v>
      </c>
      <c r="O173" s="41">
        <v>0.66564417177914115</v>
      </c>
      <c r="P173" s="41">
        <v>0.63324538258575203</v>
      </c>
      <c r="Q173" s="41">
        <v>0.66597077244258873</v>
      </c>
      <c r="R173" s="41">
        <v>0.70166666666666666</v>
      </c>
      <c r="S173" s="41">
        <v>0.69984686064318535</v>
      </c>
      <c r="T173" s="89">
        <f t="shared" si="30"/>
        <v>6.0391078330260139</v>
      </c>
      <c r="U173" s="89">
        <f t="shared" si="31"/>
        <v>3.4202688864044206</v>
      </c>
      <c r="V173" s="89">
        <f t="shared" si="32"/>
        <v>-0.18198060234813074</v>
      </c>
      <c r="W173" s="148"/>
      <c r="X173" s="148"/>
      <c r="Y173" s="148"/>
    </row>
    <row r="174" spans="1:25" x14ac:dyDescent="0.25">
      <c r="A174" s="84" t="s">
        <v>337</v>
      </c>
      <c r="B174" s="41">
        <v>0.58004827031375705</v>
      </c>
      <c r="C174" s="41">
        <v>0.62528047868362002</v>
      </c>
      <c r="D174" s="41">
        <v>0.64678633468442381</v>
      </c>
      <c r="E174" s="41">
        <v>0.60329821346770496</v>
      </c>
      <c r="F174" s="41">
        <v>0.59260715690129773</v>
      </c>
      <c r="G174" s="41">
        <v>0.57941063911213164</v>
      </c>
      <c r="H174" s="41">
        <v>0.57608247422680414</v>
      </c>
      <c r="I174" s="41">
        <v>0.59527439024390238</v>
      </c>
      <c r="J174" s="41">
        <v>0.59723261032161556</v>
      </c>
      <c r="K174" s="41">
        <v>0.60728452939055177</v>
      </c>
      <c r="L174" s="41">
        <v>0.64436619718309862</v>
      </c>
      <c r="M174" s="41">
        <v>0.6632833186231244</v>
      </c>
      <c r="N174" s="41">
        <v>0.62251655629139069</v>
      </c>
      <c r="O174" s="41">
        <v>0.60372340425531912</v>
      </c>
      <c r="P174" s="41">
        <v>0.63434089000839633</v>
      </c>
      <c r="Q174" s="41">
        <v>0.66526463371889244</v>
      </c>
      <c r="R174" s="41">
        <v>0.68913612565445026</v>
      </c>
      <c r="S174" s="41">
        <v>0.69167904903417532</v>
      </c>
      <c r="T174" s="89">
        <f t="shared" si="30"/>
        <v>9.444643871255975</v>
      </c>
      <c r="U174" s="89">
        <f t="shared" si="31"/>
        <v>8.7955644778856197</v>
      </c>
      <c r="V174" s="89">
        <f t="shared" si="32"/>
        <v>0.25429233797250594</v>
      </c>
      <c r="W174" s="148"/>
      <c r="X174" s="148"/>
      <c r="Y174" s="148"/>
    </row>
    <row r="175" spans="1:25" x14ac:dyDescent="0.25">
      <c r="A175" s="81" t="s">
        <v>314</v>
      </c>
      <c r="B175" s="40">
        <v>0.43373493975903615</v>
      </c>
      <c r="C175" s="40">
        <v>0.53846153846153844</v>
      </c>
      <c r="D175" s="40">
        <v>0.51086956521739135</v>
      </c>
      <c r="E175" s="40">
        <v>0.54545454545454541</v>
      </c>
      <c r="F175" s="40">
        <v>0.59130434782608698</v>
      </c>
      <c r="G175" s="40">
        <v>0.58851674641148322</v>
      </c>
      <c r="H175" s="40">
        <v>0.50417827298050144</v>
      </c>
      <c r="I175" s="40">
        <v>0.60074626865671643</v>
      </c>
      <c r="J175" s="40">
        <v>0.53252032520325199</v>
      </c>
      <c r="K175" s="40">
        <v>0.57045454545454544</v>
      </c>
      <c r="L175" s="40">
        <v>0.57113402061855667</v>
      </c>
      <c r="M175" s="40">
        <v>0.54829123328380391</v>
      </c>
      <c r="N175" s="40">
        <v>0.55244755244755239</v>
      </c>
      <c r="O175" s="40">
        <v>0.62957074721780604</v>
      </c>
      <c r="P175" s="40">
        <v>0.66522210184182018</v>
      </c>
      <c r="Q175" s="40">
        <v>0.73046432616081536</v>
      </c>
      <c r="R175" s="40">
        <v>0.68094774423888349</v>
      </c>
      <c r="S175" s="40">
        <v>0.71629718394248054</v>
      </c>
      <c r="T175" s="90">
        <f t="shared" si="30"/>
        <v>18.377685873922857</v>
      </c>
      <c r="U175" s="90">
        <f t="shared" si="31"/>
        <v>8.6726436724674514</v>
      </c>
      <c r="V175" s="90">
        <f t="shared" si="32"/>
        <v>3.5349439703597052</v>
      </c>
      <c r="W175" s="148"/>
      <c r="X175" s="148"/>
      <c r="Y175" s="148"/>
    </row>
    <row r="176" spans="1:25" x14ac:dyDescent="0.25">
      <c r="A176" s="84" t="s">
        <v>336</v>
      </c>
      <c r="B176" s="41">
        <v>0.44</v>
      </c>
      <c r="C176" s="41">
        <v>0.5757575757575758</v>
      </c>
      <c r="D176" s="41">
        <v>0.57894736842105265</v>
      </c>
      <c r="E176" s="41">
        <v>0.6</v>
      </c>
      <c r="F176" s="41">
        <v>0.64</v>
      </c>
      <c r="G176" s="41">
        <v>0.61538461538461542</v>
      </c>
      <c r="H176" s="41">
        <v>0.5625</v>
      </c>
      <c r="I176" s="41">
        <v>0.64</v>
      </c>
      <c r="J176" s="41">
        <v>0.5</v>
      </c>
      <c r="K176" s="41">
        <v>0.61363636363636365</v>
      </c>
      <c r="L176" s="41">
        <v>0.54347826086956519</v>
      </c>
      <c r="M176" s="41">
        <v>0.4925373134328358</v>
      </c>
      <c r="N176" s="41">
        <v>0.55072463768115942</v>
      </c>
      <c r="O176" s="41">
        <v>0.52873563218390807</v>
      </c>
      <c r="P176" s="41">
        <v>0.63709677419354838</v>
      </c>
      <c r="Q176" s="41">
        <v>0.67368421052631577</v>
      </c>
      <c r="R176" s="41">
        <v>0.60666666666666669</v>
      </c>
      <c r="S176" s="41">
        <v>0.65543071161048694</v>
      </c>
      <c r="T176" s="89">
        <f t="shared" si="30"/>
        <v>15.543071161048694</v>
      </c>
      <c r="U176" s="89">
        <f t="shared" si="31"/>
        <v>12.669507942657887</v>
      </c>
      <c r="V176" s="89">
        <f t="shared" si="32"/>
        <v>4.8764044943820251</v>
      </c>
      <c r="W176" s="148"/>
      <c r="X176" s="148"/>
      <c r="Y176" s="148"/>
    </row>
    <row r="177" spans="1:25" x14ac:dyDescent="0.25">
      <c r="A177" s="84" t="s">
        <v>337</v>
      </c>
      <c r="B177" s="41">
        <v>0.43262411347517732</v>
      </c>
      <c r="C177" s="41">
        <v>0.53020134228187921</v>
      </c>
      <c r="D177" s="41">
        <v>0.49315068493150682</v>
      </c>
      <c r="E177" s="41">
        <v>0.53503184713375795</v>
      </c>
      <c r="F177" s="41">
        <v>0.58305084745762714</v>
      </c>
      <c r="G177" s="41">
        <v>0.58469945355191255</v>
      </c>
      <c r="H177" s="41">
        <v>0.49517684887459806</v>
      </c>
      <c r="I177" s="41">
        <v>0.5967078189300411</v>
      </c>
      <c r="J177" s="41">
        <v>0.53669724770642202</v>
      </c>
      <c r="K177" s="41">
        <v>0.56565656565656564</v>
      </c>
      <c r="L177" s="41">
        <v>0.57403189066059224</v>
      </c>
      <c r="M177" s="41">
        <v>0.5544554455445545</v>
      </c>
      <c r="N177" s="41">
        <v>0.55263157894736847</v>
      </c>
      <c r="O177" s="41">
        <v>0.64575645756457567</v>
      </c>
      <c r="P177" s="41">
        <v>0.66958698372966208</v>
      </c>
      <c r="Q177" s="41">
        <v>0.73730964467005078</v>
      </c>
      <c r="R177" s="41">
        <v>0.69365260357278602</v>
      </c>
      <c r="S177" s="41">
        <v>0.72788873038516411</v>
      </c>
      <c r="T177" s="89">
        <f t="shared" si="30"/>
        <v>19.119148267874209</v>
      </c>
      <c r="U177" s="89">
        <f t="shared" si="31"/>
        <v>8.2132272820588437</v>
      </c>
      <c r="V177" s="89">
        <f t="shared" si="32"/>
        <v>3.4236126812378087</v>
      </c>
      <c r="W177" s="148"/>
      <c r="X177" s="148"/>
      <c r="Y177" s="148"/>
    </row>
    <row r="178" spans="1:25" x14ac:dyDescent="0.25">
      <c r="A178" s="81" t="s">
        <v>327</v>
      </c>
      <c r="B178" s="40">
        <v>0.63602941176470584</v>
      </c>
      <c r="C178" s="40">
        <v>0.62724014336917566</v>
      </c>
      <c r="D178" s="40">
        <v>0.71244635193133043</v>
      </c>
      <c r="E178" s="40">
        <v>0.68181818181818177</v>
      </c>
      <c r="F178" s="40">
        <v>0.67092651757188504</v>
      </c>
      <c r="G178" s="40">
        <v>0.66576819407008081</v>
      </c>
      <c r="H178" s="40">
        <v>0.65888689407540391</v>
      </c>
      <c r="I178" s="40">
        <v>0.72450532724505323</v>
      </c>
      <c r="J178" s="40">
        <v>0.66666666666666663</v>
      </c>
      <c r="K178" s="40">
        <v>0.68688293370944997</v>
      </c>
      <c r="L178" s="40">
        <v>0.76449275362318836</v>
      </c>
      <c r="M178" s="40">
        <v>0.80836236933797911</v>
      </c>
      <c r="N178" s="40">
        <v>0.79273504273504269</v>
      </c>
      <c r="O178" s="40">
        <v>0.75298804780876494</v>
      </c>
      <c r="P178" s="40">
        <v>0.75414012738853509</v>
      </c>
      <c r="Q178" s="40">
        <v>0.7980162308385933</v>
      </c>
      <c r="R178" s="40">
        <v>0.78061413244543099</v>
      </c>
      <c r="S178" s="40">
        <v>0.78084364097684744</v>
      </c>
      <c r="T178" s="90">
        <f t="shared" si="30"/>
        <v>11.41769743101808</v>
      </c>
      <c r="U178" s="90">
        <f t="shared" si="31"/>
        <v>2.7855593168082504</v>
      </c>
      <c r="V178" s="90">
        <f t="shared" si="32"/>
        <v>2.2950853141645577E-2</v>
      </c>
      <c r="W178" s="148"/>
      <c r="X178" s="148"/>
      <c r="Y178" s="148"/>
    </row>
    <row r="179" spans="1:25" x14ac:dyDescent="0.25">
      <c r="A179" s="84" t="s">
        <v>336</v>
      </c>
      <c r="B179" s="41" t="s">
        <v>62</v>
      </c>
      <c r="C179" s="41" t="s">
        <v>62</v>
      </c>
      <c r="D179" s="41" t="s">
        <v>62</v>
      </c>
      <c r="E179" s="41" t="s">
        <v>62</v>
      </c>
      <c r="F179" s="41" t="s">
        <v>62</v>
      </c>
      <c r="G179" s="41" t="s">
        <v>62</v>
      </c>
      <c r="H179" s="41">
        <v>0.67816091954022983</v>
      </c>
      <c r="I179" s="41">
        <v>0.75862068965517238</v>
      </c>
      <c r="J179" s="41">
        <v>0.63636363636363635</v>
      </c>
      <c r="K179" s="41">
        <v>0.6875</v>
      </c>
      <c r="L179" s="41">
        <v>0.8529411764705882</v>
      </c>
      <c r="M179" s="41">
        <v>0.81818181818181823</v>
      </c>
      <c r="N179" s="41">
        <v>0.75</v>
      </c>
      <c r="O179" s="41">
        <v>0.77419354838709675</v>
      </c>
      <c r="P179" s="41">
        <v>0.81818181818181823</v>
      </c>
      <c r="Q179" s="41">
        <v>0.74774774774774777</v>
      </c>
      <c r="R179" s="41">
        <v>0.77419354838709675</v>
      </c>
      <c r="S179" s="41">
        <v>0.78468899521531099</v>
      </c>
      <c r="T179" s="89">
        <f t="shared" si="30"/>
        <v>14.832535885167463</v>
      </c>
      <c r="U179" s="89">
        <f t="shared" si="31"/>
        <v>1.0495446828214239</v>
      </c>
      <c r="V179" s="89">
        <f t="shared" si="32"/>
        <v>1.0495446828214239</v>
      </c>
      <c r="W179" s="148"/>
      <c r="X179" s="148"/>
      <c r="Y179" s="148"/>
    </row>
    <row r="180" spans="1:25" x14ac:dyDescent="0.25">
      <c r="A180" s="84" t="s">
        <v>337</v>
      </c>
      <c r="B180" s="41">
        <v>0.63636363636363635</v>
      </c>
      <c r="C180" s="41">
        <v>0.62867647058823528</v>
      </c>
      <c r="D180" s="41">
        <v>0.71365638766519823</v>
      </c>
      <c r="E180" s="41">
        <v>0.68211920529801329</v>
      </c>
      <c r="F180" s="41">
        <v>0.67532467532467533</v>
      </c>
      <c r="G180" s="41">
        <v>0.67217630853994492</v>
      </c>
      <c r="H180" s="41">
        <v>0.65531914893617016</v>
      </c>
      <c r="I180" s="41">
        <v>0.72292993630573243</v>
      </c>
      <c r="J180" s="41">
        <v>0.66780238500851785</v>
      </c>
      <c r="K180" s="41">
        <v>0.68685376661742981</v>
      </c>
      <c r="L180" s="41">
        <v>0.76070528967254403</v>
      </c>
      <c r="M180" s="41">
        <v>0.80769230769230771</v>
      </c>
      <c r="N180" s="41">
        <v>0.79545454545454541</v>
      </c>
      <c r="O180" s="41">
        <v>0.75188600167644593</v>
      </c>
      <c r="P180" s="41">
        <v>0.75083724045545885</v>
      </c>
      <c r="Q180" s="41">
        <v>0.80066445182724255</v>
      </c>
      <c r="R180" s="41">
        <v>0.7810047095761381</v>
      </c>
      <c r="S180" s="41">
        <v>0.78057065217391308</v>
      </c>
      <c r="T180" s="89">
        <f t="shared" si="30"/>
        <v>11.276826716539523</v>
      </c>
      <c r="U180" s="89">
        <f t="shared" si="31"/>
        <v>2.8684650497467157</v>
      </c>
      <c r="V180" s="89">
        <f t="shared" si="32"/>
        <v>-4.3405740222501876E-2</v>
      </c>
      <c r="W180" s="148"/>
      <c r="X180" s="148"/>
      <c r="Y180" s="148"/>
    </row>
    <row r="181" spans="1:25" x14ac:dyDescent="0.25">
      <c r="A181" s="73" t="s">
        <v>223</v>
      </c>
      <c r="W181" s="148"/>
      <c r="X181" s="148"/>
      <c r="Y181" s="148"/>
    </row>
    <row r="182" spans="1:25" x14ac:dyDescent="0.25">
      <c r="A182" s="5"/>
      <c r="W182" s="148"/>
      <c r="X182" s="148"/>
      <c r="Y182" s="148"/>
    </row>
    <row r="183" spans="1:25" ht="18" x14ac:dyDescent="0.25">
      <c r="A183" s="11" t="s">
        <v>461</v>
      </c>
      <c r="B183" s="11"/>
      <c r="C183" s="11"/>
      <c r="D183" s="11"/>
      <c r="E183" s="11"/>
      <c r="F183" s="11"/>
      <c r="G183" s="11"/>
      <c r="W183" s="148"/>
      <c r="X183" s="148"/>
      <c r="Y183" s="148"/>
    </row>
    <row r="184" spans="1:25" ht="45" customHeight="1" x14ac:dyDescent="0.25">
      <c r="A184" s="14" t="s">
        <v>331</v>
      </c>
      <c r="B184" s="38">
        <v>2007</v>
      </c>
      <c r="C184" s="38">
        <v>2008</v>
      </c>
      <c r="D184" s="38">
        <v>2009</v>
      </c>
      <c r="E184" s="38">
        <v>2010</v>
      </c>
      <c r="F184" s="38">
        <v>2011</v>
      </c>
      <c r="G184" s="38">
        <v>2012</v>
      </c>
      <c r="H184" s="38">
        <v>2013</v>
      </c>
      <c r="I184" s="38">
        <v>2014</v>
      </c>
      <c r="J184" s="38">
        <v>2015</v>
      </c>
      <c r="K184" s="38">
        <v>2016</v>
      </c>
      <c r="L184" s="38">
        <v>2017</v>
      </c>
      <c r="M184" s="38">
        <v>2018</v>
      </c>
      <c r="N184" s="38">
        <v>2019</v>
      </c>
      <c r="O184" s="38">
        <v>2020</v>
      </c>
      <c r="P184" s="38">
        <v>2021</v>
      </c>
      <c r="Q184" s="38">
        <v>2022</v>
      </c>
      <c r="R184" s="38">
        <v>2023</v>
      </c>
      <c r="S184" s="38">
        <v>2024</v>
      </c>
      <c r="T184" s="39" t="s">
        <v>373</v>
      </c>
      <c r="U184" s="39" t="s">
        <v>374</v>
      </c>
      <c r="V184" s="39" t="s">
        <v>375</v>
      </c>
      <c r="W184" s="148"/>
      <c r="X184" s="148"/>
      <c r="Y184" s="148"/>
    </row>
    <row r="185" spans="1:25" x14ac:dyDescent="0.25">
      <c r="A185" s="81" t="s">
        <v>39</v>
      </c>
      <c r="B185" s="40">
        <v>0.81152063562127563</v>
      </c>
      <c r="C185" s="40">
        <v>0.78892092257001645</v>
      </c>
      <c r="D185" s="40">
        <v>0.79408942621377854</v>
      </c>
      <c r="E185" s="40">
        <v>0.81361510479819854</v>
      </c>
      <c r="F185" s="40">
        <v>0.7801153186847436</v>
      </c>
      <c r="G185" s="40">
        <v>0.76004835297673012</v>
      </c>
      <c r="H185" s="40">
        <v>0.79055949826704075</v>
      </c>
      <c r="I185" s="40">
        <v>0.79342064234487064</v>
      </c>
      <c r="J185" s="40">
        <v>0.81590553421539336</v>
      </c>
      <c r="K185" s="40">
        <v>0.81209061135371174</v>
      </c>
      <c r="L185" s="40">
        <v>0.81886149003147957</v>
      </c>
      <c r="M185" s="40">
        <v>0.82711909871244638</v>
      </c>
      <c r="N185" s="40">
        <v>0.82097349643221207</v>
      </c>
      <c r="O185" s="40">
        <v>0.85203761755485896</v>
      </c>
      <c r="P185" s="40">
        <v>0.86619557784362888</v>
      </c>
      <c r="Q185" s="40">
        <v>0.85777594558384007</v>
      </c>
      <c r="R185" s="40">
        <v>0.87009692906966207</v>
      </c>
      <c r="S185" s="40">
        <v>0.88577334411791142</v>
      </c>
      <c r="T185" s="90">
        <f t="shared" ref="T185:T243" si="33">(S185-J185)*100</f>
        <v>6.9867809902518063</v>
      </c>
      <c r="U185" s="90">
        <f t="shared" ref="U185:U243" si="34">(S185-O185)*100</f>
        <v>3.3735726563052459</v>
      </c>
      <c r="V185" s="90">
        <f t="shared" ref="V185:V243" si="35">(S185-R185)*100</f>
        <v>1.5676415048249348</v>
      </c>
      <c r="W185" s="148"/>
      <c r="X185" s="148"/>
      <c r="Y185" s="148"/>
    </row>
    <row r="186" spans="1:25" x14ac:dyDescent="0.25">
      <c r="A186" s="84" t="s">
        <v>336</v>
      </c>
      <c r="B186" s="41">
        <v>0.82473566164690804</v>
      </c>
      <c r="C186" s="41">
        <v>0.80320295657530028</v>
      </c>
      <c r="D186" s="41">
        <v>0.81058655221745346</v>
      </c>
      <c r="E186" s="41">
        <v>0.83101182654402106</v>
      </c>
      <c r="F186" s="41">
        <v>0.79097387173396672</v>
      </c>
      <c r="G186" s="41">
        <v>0.76788949275362317</v>
      </c>
      <c r="H186" s="41">
        <v>0.81035758323057949</v>
      </c>
      <c r="I186" s="41">
        <v>0.80305522914218563</v>
      </c>
      <c r="J186" s="41">
        <v>0.82576082297471065</v>
      </c>
      <c r="K186" s="41">
        <v>0.81948946515397081</v>
      </c>
      <c r="L186" s="41">
        <v>0.83189241114313162</v>
      </c>
      <c r="M186" s="41">
        <v>0.83923154701718905</v>
      </c>
      <c r="N186" s="41">
        <v>0.83126787416587222</v>
      </c>
      <c r="O186" s="41">
        <v>0.86742772969987114</v>
      </c>
      <c r="P186" s="41">
        <v>0.8813278008298755</v>
      </c>
      <c r="Q186" s="41">
        <v>0.86329338659565025</v>
      </c>
      <c r="R186" s="41">
        <v>0.88028442146089203</v>
      </c>
      <c r="S186" s="41">
        <v>0.8952919989709287</v>
      </c>
      <c r="T186" s="89">
        <f t="shared" si="33"/>
        <v>6.9531175996218053</v>
      </c>
      <c r="U186" s="89">
        <f t="shared" si="34"/>
        <v>2.7864269271057562</v>
      </c>
      <c r="V186" s="89">
        <f t="shared" si="35"/>
        <v>1.5007577510036674</v>
      </c>
      <c r="W186" s="148"/>
      <c r="X186" s="148"/>
      <c r="Y186" s="148"/>
    </row>
    <row r="187" spans="1:25" x14ac:dyDescent="0.25">
      <c r="A187" s="84" t="s">
        <v>337</v>
      </c>
      <c r="B187" s="41">
        <v>0.78226950354609925</v>
      </c>
      <c r="C187" s="41">
        <v>0.76009944064636425</v>
      </c>
      <c r="D187" s="41">
        <v>0.76048951048951052</v>
      </c>
      <c r="E187" s="41">
        <v>0.77997967479674801</v>
      </c>
      <c r="F187" s="41">
        <v>0.75940190303579524</v>
      </c>
      <c r="G187" s="41">
        <v>0.74432334241598552</v>
      </c>
      <c r="H187" s="41">
        <v>0.75049900199600794</v>
      </c>
      <c r="I187" s="41">
        <v>0.77443260768874478</v>
      </c>
      <c r="J187" s="41">
        <v>0.79644519678374948</v>
      </c>
      <c r="K187" s="41">
        <v>0.79682274247491636</v>
      </c>
      <c r="L187" s="41">
        <v>0.79082265398925178</v>
      </c>
      <c r="M187" s="41">
        <v>0.80326563122262051</v>
      </c>
      <c r="N187" s="41">
        <v>0.80023050326546297</v>
      </c>
      <c r="O187" s="41">
        <v>0.8191823899371069</v>
      </c>
      <c r="P187" s="41">
        <v>0.83303019279738089</v>
      </c>
      <c r="Q187" s="41">
        <v>0.84510869565217395</v>
      </c>
      <c r="R187" s="41">
        <v>0.84624697336561738</v>
      </c>
      <c r="S187" s="41">
        <v>0.86370414554130626</v>
      </c>
      <c r="T187" s="89">
        <f t="shared" si="33"/>
        <v>6.725894875755678</v>
      </c>
      <c r="U187" s="89">
        <f t="shared" si="34"/>
        <v>4.4521755604199349</v>
      </c>
      <c r="V187" s="89">
        <f t="shared" si="35"/>
        <v>1.7457172175688873</v>
      </c>
      <c r="W187" s="148"/>
      <c r="X187" s="148"/>
      <c r="Y187" s="148"/>
    </row>
    <row r="188" spans="1:25" x14ac:dyDescent="0.25">
      <c r="A188" s="81" t="s">
        <v>10</v>
      </c>
      <c r="B188" s="40">
        <v>0.7196338297581637</v>
      </c>
      <c r="C188" s="40">
        <v>0.70965517241379306</v>
      </c>
      <c r="D188" s="40">
        <v>0.72437656604223843</v>
      </c>
      <c r="E188" s="40">
        <v>0.76134221440241301</v>
      </c>
      <c r="F188" s="40">
        <v>0.73559822747415071</v>
      </c>
      <c r="G188" s="40">
        <v>0.73972775397025459</v>
      </c>
      <c r="H188" s="40">
        <v>0.75307973466901312</v>
      </c>
      <c r="I188" s="40">
        <v>0.74518342570599105</v>
      </c>
      <c r="J188" s="40">
        <v>0.76738289069798482</v>
      </c>
      <c r="K188" s="40">
        <v>0.76706979087931471</v>
      </c>
      <c r="L188" s="40">
        <v>0.77600472813238774</v>
      </c>
      <c r="M188" s="40">
        <v>0.78852066962760503</v>
      </c>
      <c r="N188" s="40">
        <v>0.78835037794575369</v>
      </c>
      <c r="O188" s="40">
        <v>0.8461104211358248</v>
      </c>
      <c r="P188" s="40">
        <v>0.81301167994760393</v>
      </c>
      <c r="Q188" s="40">
        <v>0.81180728342004072</v>
      </c>
      <c r="R188" s="40">
        <v>0.83194641769839661</v>
      </c>
      <c r="S188" s="40">
        <v>0.84154823102509824</v>
      </c>
      <c r="T188" s="90">
        <f t="shared" si="33"/>
        <v>7.4165340327113416</v>
      </c>
      <c r="U188" s="90">
        <f t="shared" si="34"/>
        <v>-0.45621901107265606</v>
      </c>
      <c r="V188" s="90">
        <f t="shared" si="35"/>
        <v>0.96018133267016248</v>
      </c>
      <c r="W188" s="148"/>
      <c r="X188" s="148"/>
      <c r="Y188" s="148"/>
    </row>
    <row r="189" spans="1:25" x14ac:dyDescent="0.25">
      <c r="A189" s="84" t="s">
        <v>336</v>
      </c>
      <c r="B189" s="41">
        <v>0.7196338297581637</v>
      </c>
      <c r="C189" s="41">
        <v>0.70965517241379306</v>
      </c>
      <c r="D189" s="41">
        <v>0.72437656604223843</v>
      </c>
      <c r="E189" s="41">
        <v>0.76134221440241301</v>
      </c>
      <c r="F189" s="41">
        <v>0.73559822747415071</v>
      </c>
      <c r="G189" s="41">
        <v>0.73972775397025459</v>
      </c>
      <c r="H189" s="41">
        <v>0.75307973466901312</v>
      </c>
      <c r="I189" s="41">
        <v>0.74518342570599105</v>
      </c>
      <c r="J189" s="41">
        <v>0.76738289069798482</v>
      </c>
      <c r="K189" s="41">
        <v>0.76706979087931471</v>
      </c>
      <c r="L189" s="41">
        <v>0.77600472813238774</v>
      </c>
      <c r="M189" s="41">
        <v>0.78852066962760503</v>
      </c>
      <c r="N189" s="41">
        <v>0.78835037794575369</v>
      </c>
      <c r="O189" s="41">
        <v>0.8461104211358248</v>
      </c>
      <c r="P189" s="41">
        <v>0.81301167994760393</v>
      </c>
      <c r="Q189" s="41">
        <v>0.81180728342004072</v>
      </c>
      <c r="R189" s="41">
        <v>0.83194641769839661</v>
      </c>
      <c r="S189" s="41">
        <v>0.84154823102509824</v>
      </c>
      <c r="T189" s="89">
        <f t="shared" si="33"/>
        <v>7.4165340327113416</v>
      </c>
      <c r="U189" s="89">
        <f t="shared" si="34"/>
        <v>-0.45621901107265606</v>
      </c>
      <c r="V189" s="89">
        <f t="shared" si="35"/>
        <v>0.96018133267016248</v>
      </c>
      <c r="W189" s="148"/>
      <c r="X189" s="148"/>
      <c r="Y189" s="148"/>
    </row>
    <row r="190" spans="1:25" x14ac:dyDescent="0.25">
      <c r="A190" s="84" t="s">
        <v>337</v>
      </c>
      <c r="B190" s="41">
        <v>0.73356401384083048</v>
      </c>
      <c r="C190" s="41">
        <v>0.72714182865370769</v>
      </c>
      <c r="D190" s="41">
        <v>0.73611460165870823</v>
      </c>
      <c r="E190" s="41">
        <v>0.77402461377323906</v>
      </c>
      <c r="F190" s="41">
        <v>0.75368842210552633</v>
      </c>
      <c r="G190" s="41">
        <v>0.7476496783770411</v>
      </c>
      <c r="H190" s="41">
        <v>0.76766595289079231</v>
      </c>
      <c r="I190" s="41">
        <v>0.76554536187563715</v>
      </c>
      <c r="J190" s="41">
        <v>0.7806201550387597</v>
      </c>
      <c r="K190" s="41">
        <v>0.7912690839694656</v>
      </c>
      <c r="L190" s="41">
        <v>0.78324584426946631</v>
      </c>
      <c r="M190" s="41">
        <v>0.79785177228786253</v>
      </c>
      <c r="N190" s="41">
        <v>0.80053355222655453</v>
      </c>
      <c r="O190" s="41">
        <v>0.86772380570052188</v>
      </c>
      <c r="P190" s="41">
        <v>0.82200078155529499</v>
      </c>
      <c r="Q190" s="41">
        <v>0.82230895645028756</v>
      </c>
      <c r="R190" s="41">
        <v>0.83832445342641926</v>
      </c>
      <c r="S190" s="41">
        <v>0.84928057553956837</v>
      </c>
      <c r="T190" s="89">
        <f t="shared" si="33"/>
        <v>6.8660420500808677</v>
      </c>
      <c r="U190" s="89">
        <f t="shared" si="34"/>
        <v>-1.8443230160953505</v>
      </c>
      <c r="V190" s="89">
        <f t="shared" si="35"/>
        <v>1.0956122113149114</v>
      </c>
      <c r="W190" s="148"/>
      <c r="X190" s="148"/>
      <c r="Y190" s="148"/>
    </row>
    <row r="191" spans="1:25" x14ac:dyDescent="0.25">
      <c r="A191" s="81" t="s">
        <v>38</v>
      </c>
      <c r="B191" s="40">
        <v>0.80569456427955133</v>
      </c>
      <c r="C191" s="40">
        <v>0.77959814528593507</v>
      </c>
      <c r="D191" s="40">
        <v>0.79501146788990829</v>
      </c>
      <c r="E191" s="40">
        <v>0.83979467783331085</v>
      </c>
      <c r="F191" s="40">
        <v>0.78901070882202962</v>
      </c>
      <c r="G191" s="40">
        <v>0.80498362189985961</v>
      </c>
      <c r="H191" s="40">
        <v>0.80433705080545226</v>
      </c>
      <c r="I191" s="40">
        <v>0.81459638776262444</v>
      </c>
      <c r="J191" s="40">
        <v>0.80870105655686764</v>
      </c>
      <c r="K191" s="40">
        <v>0.81251437773176904</v>
      </c>
      <c r="L191" s="40">
        <v>0.81480619252706321</v>
      </c>
      <c r="M191" s="40">
        <v>0.82179034157832742</v>
      </c>
      <c r="N191" s="40">
        <v>0.81985336902129635</v>
      </c>
      <c r="O191" s="40">
        <v>0.87291747384734597</v>
      </c>
      <c r="P191" s="40">
        <v>0.84534868507130712</v>
      </c>
      <c r="Q191" s="40">
        <v>0.82596482657547632</v>
      </c>
      <c r="R191" s="40">
        <v>0.82758227992256006</v>
      </c>
      <c r="S191" s="40">
        <v>0.84432008953553439</v>
      </c>
      <c r="T191" s="90">
        <f t="shared" si="33"/>
        <v>3.5619032978666754</v>
      </c>
      <c r="U191" s="90">
        <f t="shared" si="34"/>
        <v>-2.859738431181158</v>
      </c>
      <c r="V191" s="90">
        <f t="shared" si="35"/>
        <v>1.673780961297433</v>
      </c>
      <c r="W191" s="148"/>
      <c r="X191" s="148"/>
      <c r="Y191" s="148"/>
    </row>
    <row r="192" spans="1:25" x14ac:dyDescent="0.25">
      <c r="A192" s="84" t="s">
        <v>336</v>
      </c>
      <c r="B192" s="41">
        <v>0.80569456427955133</v>
      </c>
      <c r="C192" s="41">
        <v>0.77959814528593507</v>
      </c>
      <c r="D192" s="41">
        <v>0.79501146788990829</v>
      </c>
      <c r="E192" s="41">
        <v>0.83979467783331085</v>
      </c>
      <c r="F192" s="41">
        <v>0.78901070882202962</v>
      </c>
      <c r="G192" s="41">
        <v>0.80498362189985961</v>
      </c>
      <c r="H192" s="41">
        <v>0.80433705080545226</v>
      </c>
      <c r="I192" s="41">
        <v>0.81459638776262444</v>
      </c>
      <c r="J192" s="41">
        <v>0.80870105655686764</v>
      </c>
      <c r="K192" s="41">
        <v>0.81251437773176904</v>
      </c>
      <c r="L192" s="41">
        <v>0.81480619252706321</v>
      </c>
      <c r="M192" s="41">
        <v>0.82179034157832742</v>
      </c>
      <c r="N192" s="41">
        <v>0.81985336902129635</v>
      </c>
      <c r="O192" s="41">
        <v>0.87291747384734597</v>
      </c>
      <c r="P192" s="41">
        <v>0.84534868507130712</v>
      </c>
      <c r="Q192" s="41">
        <v>0.82596482657547632</v>
      </c>
      <c r="R192" s="41">
        <v>0.82758227992256006</v>
      </c>
      <c r="S192" s="41">
        <v>0.84432008953553439</v>
      </c>
      <c r="T192" s="89">
        <f t="shared" si="33"/>
        <v>3.5619032978666754</v>
      </c>
      <c r="U192" s="89">
        <f t="shared" si="34"/>
        <v>-2.859738431181158</v>
      </c>
      <c r="V192" s="89">
        <f t="shared" si="35"/>
        <v>1.673780961297433</v>
      </c>
      <c r="W192" s="148"/>
      <c r="X192" s="148"/>
      <c r="Y192" s="148"/>
    </row>
    <row r="193" spans="1:25" x14ac:dyDescent="0.25">
      <c r="A193" s="84" t="s">
        <v>337</v>
      </c>
      <c r="B193" s="41">
        <v>0.82175732217573216</v>
      </c>
      <c r="C193" s="41">
        <v>0.80450281425891179</v>
      </c>
      <c r="D193" s="41">
        <v>0.81719334012911993</v>
      </c>
      <c r="E193" s="41">
        <v>0.85859914501808621</v>
      </c>
      <c r="F193" s="41">
        <v>0.80702855349858804</v>
      </c>
      <c r="G193" s="41">
        <v>0.82796892341842399</v>
      </c>
      <c r="H193" s="41">
        <v>0.82311937264013946</v>
      </c>
      <c r="I193" s="41">
        <v>0.8338566942620611</v>
      </c>
      <c r="J193" s="41">
        <v>0.83368676158739774</v>
      </c>
      <c r="K193" s="41">
        <v>0.83287596048298573</v>
      </c>
      <c r="L193" s="41">
        <v>0.82217866143937268</v>
      </c>
      <c r="M193" s="41">
        <v>0.84139320667818074</v>
      </c>
      <c r="N193" s="41">
        <v>0.83636889274356752</v>
      </c>
      <c r="O193" s="41">
        <v>0.89565760699781316</v>
      </c>
      <c r="P193" s="41">
        <v>0.85281774580335734</v>
      </c>
      <c r="Q193" s="41">
        <v>0.84304255961364327</v>
      </c>
      <c r="R193" s="41">
        <v>0.83735452739142779</v>
      </c>
      <c r="S193" s="41">
        <v>0.85325936199722607</v>
      </c>
      <c r="T193" s="89">
        <f t="shared" si="33"/>
        <v>1.9572600409828333</v>
      </c>
      <c r="U193" s="89">
        <f t="shared" si="34"/>
        <v>-4.2398245000587087</v>
      </c>
      <c r="V193" s="89">
        <f t="shared" si="35"/>
        <v>1.5904834605798279</v>
      </c>
      <c r="W193" s="148"/>
      <c r="X193" s="148"/>
      <c r="Y193" s="148"/>
    </row>
    <row r="194" spans="1:25" x14ac:dyDescent="0.25">
      <c r="A194" s="81" t="s">
        <v>37</v>
      </c>
      <c r="B194" s="40">
        <v>0.8105211885046274</v>
      </c>
      <c r="C194" s="40">
        <v>0.80713664055700607</v>
      </c>
      <c r="D194" s="40">
        <v>0.83809270819497939</v>
      </c>
      <c r="E194" s="40">
        <v>0.83364507832592938</v>
      </c>
      <c r="F194" s="40">
        <v>0.7969916556873079</v>
      </c>
      <c r="G194" s="40">
        <v>0.75405055087491901</v>
      </c>
      <c r="H194" s="40">
        <v>0.82180916976456009</v>
      </c>
      <c r="I194" s="40">
        <v>0.82590565545999484</v>
      </c>
      <c r="J194" s="40">
        <v>0.83355923014367039</v>
      </c>
      <c r="K194" s="40">
        <v>0.83317637562222524</v>
      </c>
      <c r="L194" s="40">
        <v>0.83124826244092298</v>
      </c>
      <c r="M194" s="40">
        <v>0.83187739463601529</v>
      </c>
      <c r="N194" s="40">
        <v>0.84619032564021501</v>
      </c>
      <c r="O194" s="40">
        <v>0.89261634599572437</v>
      </c>
      <c r="P194" s="40">
        <v>0.85977859778597787</v>
      </c>
      <c r="Q194" s="40">
        <v>0.88127986101056899</v>
      </c>
      <c r="R194" s="40">
        <v>0.87702047413793105</v>
      </c>
      <c r="S194" s="40">
        <v>0.89282348189039984</v>
      </c>
      <c r="T194" s="90">
        <f t="shared" si="33"/>
        <v>5.9264251746729446</v>
      </c>
      <c r="U194" s="90">
        <f t="shared" si="34"/>
        <v>2.0713589467546978E-2</v>
      </c>
      <c r="V194" s="90">
        <f t="shared" si="35"/>
        <v>1.580300775246879</v>
      </c>
      <c r="W194" s="148"/>
      <c r="X194" s="148"/>
      <c r="Y194" s="148"/>
    </row>
    <row r="195" spans="1:25" x14ac:dyDescent="0.25">
      <c r="A195" s="84" t="s">
        <v>336</v>
      </c>
      <c r="B195" s="41">
        <v>0.8105211885046274</v>
      </c>
      <c r="C195" s="41">
        <v>0.80713664055700607</v>
      </c>
      <c r="D195" s="41">
        <v>0.83809270819497939</v>
      </c>
      <c r="E195" s="41">
        <v>0.83364507832592938</v>
      </c>
      <c r="F195" s="41">
        <v>0.7969916556873079</v>
      </c>
      <c r="G195" s="41">
        <v>0.75405055087491901</v>
      </c>
      <c r="H195" s="41">
        <v>0.82180916976456009</v>
      </c>
      <c r="I195" s="41">
        <v>0.82590565545999484</v>
      </c>
      <c r="J195" s="41">
        <v>0.83355923014367039</v>
      </c>
      <c r="K195" s="41">
        <v>0.83317637562222524</v>
      </c>
      <c r="L195" s="41">
        <v>0.83124826244092298</v>
      </c>
      <c r="M195" s="41">
        <v>0.83187739463601529</v>
      </c>
      <c r="N195" s="41">
        <v>0.84619032564021501</v>
      </c>
      <c r="O195" s="41">
        <v>0.89261634599572437</v>
      </c>
      <c r="P195" s="41">
        <v>0.85977859778597787</v>
      </c>
      <c r="Q195" s="41">
        <v>0.88127986101056899</v>
      </c>
      <c r="R195" s="41">
        <v>0.87702047413793105</v>
      </c>
      <c r="S195" s="41">
        <v>0.89282348189039984</v>
      </c>
      <c r="T195" s="89">
        <f t="shared" si="33"/>
        <v>5.9264251746729446</v>
      </c>
      <c r="U195" s="89">
        <f t="shared" si="34"/>
        <v>2.0713589467546978E-2</v>
      </c>
      <c r="V195" s="89">
        <f t="shared" si="35"/>
        <v>1.580300775246879</v>
      </c>
      <c r="W195" s="148"/>
      <c r="X195" s="148"/>
      <c r="Y195" s="148"/>
    </row>
    <row r="196" spans="1:25" x14ac:dyDescent="0.25">
      <c r="A196" s="84" t="s">
        <v>337</v>
      </c>
      <c r="B196" s="41">
        <v>0.82025677603423686</v>
      </c>
      <c r="C196" s="41">
        <v>0.81041580897488674</v>
      </c>
      <c r="D196" s="41">
        <v>0.84283219558660105</v>
      </c>
      <c r="E196" s="41">
        <v>0.84198613665299193</v>
      </c>
      <c r="F196" s="41">
        <v>0.80453938584779705</v>
      </c>
      <c r="G196" s="41">
        <v>0.76121562952243127</v>
      </c>
      <c r="H196" s="41">
        <v>0.8267236119585113</v>
      </c>
      <c r="I196" s="41">
        <v>0.83476708326570359</v>
      </c>
      <c r="J196" s="41">
        <v>0.8401639344262295</v>
      </c>
      <c r="K196" s="41">
        <v>0.83855825649622795</v>
      </c>
      <c r="L196" s="41">
        <v>0.84111986001749783</v>
      </c>
      <c r="M196" s="41">
        <v>0.8358581016299137</v>
      </c>
      <c r="N196" s="41">
        <v>0.85408903706609141</v>
      </c>
      <c r="O196" s="41">
        <v>0.90163273533561783</v>
      </c>
      <c r="P196" s="41">
        <v>0.8696534234995773</v>
      </c>
      <c r="Q196" s="41">
        <v>0.88717855849329952</v>
      </c>
      <c r="R196" s="41">
        <v>0.8809646856158484</v>
      </c>
      <c r="S196" s="41">
        <v>0.89726141078838173</v>
      </c>
      <c r="T196" s="89">
        <f t="shared" si="33"/>
        <v>5.7097476362152229</v>
      </c>
      <c r="U196" s="89">
        <f t="shared" si="34"/>
        <v>-0.43713245472360995</v>
      </c>
      <c r="V196" s="89">
        <f t="shared" si="35"/>
        <v>1.6296725172533333</v>
      </c>
      <c r="W196" s="148"/>
      <c r="X196" s="148"/>
      <c r="Y196" s="148"/>
    </row>
    <row r="197" spans="1:25" x14ac:dyDescent="0.25">
      <c r="A197" s="81" t="s">
        <v>40</v>
      </c>
      <c r="B197" s="40">
        <v>0.75723069915736729</v>
      </c>
      <c r="C197" s="40">
        <v>0.77696944502182497</v>
      </c>
      <c r="D197" s="40">
        <v>0.77078344166951762</v>
      </c>
      <c r="E197" s="40">
        <v>0.77509767283845765</v>
      </c>
      <c r="F197" s="40">
        <v>0.74065934065934069</v>
      </c>
      <c r="G197" s="40">
        <v>0.70749128919860627</v>
      </c>
      <c r="H197" s="40">
        <v>0.71413524331156519</v>
      </c>
      <c r="I197" s="40">
        <v>0.75281448849730792</v>
      </c>
      <c r="J197" s="40">
        <v>0.75970377936670075</v>
      </c>
      <c r="K197" s="40">
        <v>0.75240153698366952</v>
      </c>
      <c r="L197" s="40">
        <v>0.78075117370892022</v>
      </c>
      <c r="M197" s="40">
        <v>0.78278493085360035</v>
      </c>
      <c r="N197" s="40">
        <v>0.80020677177565258</v>
      </c>
      <c r="O197" s="40">
        <v>0.84891706286318014</v>
      </c>
      <c r="P197" s="40">
        <v>0.83553780883453954</v>
      </c>
      <c r="Q197" s="40">
        <v>0.83979500891265602</v>
      </c>
      <c r="R197" s="40">
        <v>0.84525660964230176</v>
      </c>
      <c r="S197" s="40">
        <v>0.87178072111846949</v>
      </c>
      <c r="T197" s="90">
        <f t="shared" si="33"/>
        <v>11.207694175176874</v>
      </c>
      <c r="U197" s="90">
        <f t="shared" si="34"/>
        <v>2.2863658255289354</v>
      </c>
      <c r="V197" s="90">
        <f t="shared" si="35"/>
        <v>2.6524111476167733</v>
      </c>
      <c r="W197" s="148"/>
      <c r="X197" s="148"/>
      <c r="Y197" s="148"/>
    </row>
    <row r="198" spans="1:25" x14ac:dyDescent="0.25">
      <c r="A198" s="84" t="s">
        <v>336</v>
      </c>
      <c r="B198" s="41">
        <v>0.76978114478114479</v>
      </c>
      <c r="C198" s="41">
        <v>0.78055555555555556</v>
      </c>
      <c r="D198" s="41">
        <v>0.77693823915900129</v>
      </c>
      <c r="E198" s="41">
        <v>0.7781124497991968</v>
      </c>
      <c r="F198" s="41">
        <v>0.74264705882352944</v>
      </c>
      <c r="G198" s="41">
        <v>0.71011470281543276</v>
      </c>
      <c r="H198" s="41">
        <v>0.71013322567622128</v>
      </c>
      <c r="I198" s="41">
        <v>0.75527426160337552</v>
      </c>
      <c r="J198" s="41">
        <v>0.76439283986453799</v>
      </c>
      <c r="K198" s="41">
        <v>0.75402504472271914</v>
      </c>
      <c r="L198" s="41">
        <v>0.78111401218450827</v>
      </c>
      <c r="M198" s="41">
        <v>0.78465679676985201</v>
      </c>
      <c r="N198" s="41">
        <v>0.80209895052473767</v>
      </c>
      <c r="O198" s="41">
        <v>0.85216033315981254</v>
      </c>
      <c r="P198" s="41">
        <v>0.85814889336016098</v>
      </c>
      <c r="Q198" s="41">
        <v>0.83205417607223475</v>
      </c>
      <c r="R198" s="41">
        <v>0.84618680377035138</v>
      </c>
      <c r="S198" s="41">
        <v>0.88009991673605326</v>
      </c>
      <c r="T198" s="89">
        <f t="shared" si="33"/>
        <v>11.570707687151527</v>
      </c>
      <c r="U198" s="89">
        <f t="shared" si="34"/>
        <v>2.7939583576240712</v>
      </c>
      <c r="V198" s="89">
        <f t="shared" si="35"/>
        <v>3.3913112965701875</v>
      </c>
      <c r="W198" s="148"/>
      <c r="X198" s="148"/>
      <c r="Y198" s="148"/>
    </row>
    <row r="199" spans="1:25" x14ac:dyDescent="0.25">
      <c r="A199" s="84" t="s">
        <v>337</v>
      </c>
      <c r="B199" s="41">
        <v>0.74243176178660053</v>
      </c>
      <c r="C199" s="41">
        <v>0.77302487996508074</v>
      </c>
      <c r="D199" s="41">
        <v>0.76409707351891509</v>
      </c>
      <c r="E199" s="41">
        <v>0.77199034149706791</v>
      </c>
      <c r="F199" s="41">
        <v>0.73862470065001706</v>
      </c>
      <c r="G199" s="41">
        <v>0.70485504715333569</v>
      </c>
      <c r="H199" s="41">
        <v>0.71850220264317177</v>
      </c>
      <c r="I199" s="41">
        <v>0.75012800819252434</v>
      </c>
      <c r="J199" s="41">
        <v>0.75446187128177389</v>
      </c>
      <c r="K199" s="41">
        <v>0.75051867219917012</v>
      </c>
      <c r="L199" s="41">
        <v>0.78032619775739043</v>
      </c>
      <c r="M199" s="41">
        <v>0.78066157760814248</v>
      </c>
      <c r="N199" s="41">
        <v>0.79817987152034264</v>
      </c>
      <c r="O199" s="41">
        <v>0.84557640750670238</v>
      </c>
      <c r="P199" s="41">
        <v>0.81327389796929173</v>
      </c>
      <c r="Q199" s="41">
        <v>0.84733831940167181</v>
      </c>
      <c r="R199" s="41">
        <v>0.84448398576512451</v>
      </c>
      <c r="S199" s="41">
        <v>0.86519446275543832</v>
      </c>
      <c r="T199" s="89">
        <f t="shared" si="33"/>
        <v>11.073259147366443</v>
      </c>
      <c r="U199" s="89">
        <f t="shared" si="34"/>
        <v>1.9618055248735944</v>
      </c>
      <c r="V199" s="89">
        <f t="shared" si="35"/>
        <v>2.0710476990313809</v>
      </c>
      <c r="W199" s="148"/>
      <c r="X199" s="148"/>
      <c r="Y199" s="148"/>
    </row>
    <row r="200" spans="1:25" x14ac:dyDescent="0.25">
      <c r="A200" s="81" t="s">
        <v>41</v>
      </c>
      <c r="B200" s="40">
        <v>0.80256972735819487</v>
      </c>
      <c r="C200" s="40">
        <v>0.78881807647740443</v>
      </c>
      <c r="D200" s="40">
        <v>0.78249744114636643</v>
      </c>
      <c r="E200" s="40">
        <v>0.8322815533980582</v>
      </c>
      <c r="F200" s="40">
        <v>0.79742388758782201</v>
      </c>
      <c r="G200" s="40">
        <v>0.83058282849383747</v>
      </c>
      <c r="H200" s="40">
        <v>0.79367643664897303</v>
      </c>
      <c r="I200" s="40">
        <v>0.80532834774480022</v>
      </c>
      <c r="J200" s="40">
        <v>0.81068524970963995</v>
      </c>
      <c r="K200" s="40">
        <v>0.82400178451929507</v>
      </c>
      <c r="L200" s="40">
        <v>0.83552014995313961</v>
      </c>
      <c r="M200" s="40">
        <v>0.81316505815392226</v>
      </c>
      <c r="N200" s="40">
        <v>0.83867084035636885</v>
      </c>
      <c r="O200" s="40">
        <v>0.8958890780831914</v>
      </c>
      <c r="P200" s="40">
        <v>0.86860341151385922</v>
      </c>
      <c r="Q200" s="40">
        <v>0.83247770872737104</v>
      </c>
      <c r="R200" s="40">
        <v>0.85096153846153844</v>
      </c>
      <c r="S200" s="40">
        <v>0.88131962296486721</v>
      </c>
      <c r="T200" s="90">
        <f t="shared" si="33"/>
        <v>7.0634373255227256</v>
      </c>
      <c r="U200" s="90">
        <f t="shared" si="34"/>
        <v>-1.4569455118324193</v>
      </c>
      <c r="V200" s="90">
        <f t="shared" si="35"/>
        <v>3.0358084503328775</v>
      </c>
      <c r="W200" s="148"/>
      <c r="X200" s="148"/>
      <c r="Y200" s="148"/>
    </row>
    <row r="201" spans="1:25" x14ac:dyDescent="0.25">
      <c r="A201" s="84" t="s">
        <v>336</v>
      </c>
      <c r="B201" s="41">
        <v>0.83292978208232449</v>
      </c>
      <c r="C201" s="41">
        <v>0.8147321428571429</v>
      </c>
      <c r="D201" s="41">
        <v>0.79945553539019965</v>
      </c>
      <c r="E201" s="41">
        <v>0.86787564766839376</v>
      </c>
      <c r="F201" s="41">
        <v>0.82717041800643087</v>
      </c>
      <c r="G201" s="41">
        <v>0.85088339222614839</v>
      </c>
      <c r="H201" s="41">
        <v>0.83049535603715174</v>
      </c>
      <c r="I201" s="41">
        <v>0.82515337423312884</v>
      </c>
      <c r="J201" s="41">
        <v>0.83648750946252837</v>
      </c>
      <c r="K201" s="41">
        <v>0.84134960516870061</v>
      </c>
      <c r="L201" s="41">
        <v>0.85652173913043483</v>
      </c>
      <c r="M201" s="41">
        <v>0.81095679012345678</v>
      </c>
      <c r="N201" s="41">
        <v>0.84522915101427498</v>
      </c>
      <c r="O201" s="41">
        <v>0.90461997019374063</v>
      </c>
      <c r="P201" s="41">
        <v>0.86872909698996659</v>
      </c>
      <c r="Q201" s="41">
        <v>0.82978723404255317</v>
      </c>
      <c r="R201" s="41">
        <v>0.84297520661157022</v>
      </c>
      <c r="S201" s="41">
        <v>0.88347597103357467</v>
      </c>
      <c r="T201" s="89">
        <f t="shared" si="33"/>
        <v>4.6988461571046303</v>
      </c>
      <c r="U201" s="89">
        <f t="shared" si="34"/>
        <v>-2.114399916016596</v>
      </c>
      <c r="V201" s="89">
        <f t="shared" si="35"/>
        <v>4.0500764422004458</v>
      </c>
      <c r="W201" s="148"/>
      <c r="X201" s="148"/>
      <c r="Y201" s="148"/>
    </row>
    <row r="202" spans="1:25" x14ac:dyDescent="0.25">
      <c r="A202" s="84" t="s">
        <v>337</v>
      </c>
      <c r="B202" s="41">
        <v>0.7919661733615222</v>
      </c>
      <c r="C202" s="41">
        <v>0.77973395931142409</v>
      </c>
      <c r="D202" s="41">
        <v>0.77583749109052036</v>
      </c>
      <c r="E202" s="41">
        <v>0.81836596893990543</v>
      </c>
      <c r="F202" s="41">
        <v>0.78519497686715134</v>
      </c>
      <c r="G202" s="41">
        <v>0.8220640569395018</v>
      </c>
      <c r="H202" s="41">
        <v>0.77803354159815852</v>
      </c>
      <c r="I202" s="41">
        <v>0.79663865546218482</v>
      </c>
      <c r="J202" s="41">
        <v>0.79926273458445041</v>
      </c>
      <c r="K202" s="41">
        <v>0.81618122977346275</v>
      </c>
      <c r="L202" s="41">
        <v>0.82548476454293629</v>
      </c>
      <c r="M202" s="41">
        <v>0.81420765027322406</v>
      </c>
      <c r="N202" s="41">
        <v>0.83557760453579022</v>
      </c>
      <c r="O202" s="41">
        <v>0.89165763813651133</v>
      </c>
      <c r="P202" s="41">
        <v>0.86854460093896713</v>
      </c>
      <c r="Q202" s="41">
        <v>0.833729216152019</v>
      </c>
      <c r="R202" s="41">
        <v>0.85423728813559319</v>
      </c>
      <c r="S202" s="41">
        <v>0.8802794537948555</v>
      </c>
      <c r="T202" s="89">
        <f t="shared" si="33"/>
        <v>8.1016719210405093</v>
      </c>
      <c r="U202" s="89">
        <f t="shared" si="34"/>
        <v>-1.1378184341655828</v>
      </c>
      <c r="V202" s="89">
        <f t="shared" si="35"/>
        <v>2.6042165659262317</v>
      </c>
      <c r="W202" s="148"/>
      <c r="X202" s="148"/>
      <c r="Y202" s="148"/>
    </row>
    <row r="203" spans="1:25" x14ac:dyDescent="0.25">
      <c r="A203" s="81" t="s">
        <v>47</v>
      </c>
      <c r="B203" s="40">
        <v>0.84772137828825489</v>
      </c>
      <c r="C203" s="40">
        <v>0.85846267553584632</v>
      </c>
      <c r="D203" s="40">
        <v>0.87580218950547373</v>
      </c>
      <c r="E203" s="40">
        <v>0.87014881820834544</v>
      </c>
      <c r="F203" s="40">
        <v>0.73325138291333747</v>
      </c>
      <c r="G203" s="40">
        <v>0.82383107088989438</v>
      </c>
      <c r="H203" s="40">
        <v>0.83372984403912243</v>
      </c>
      <c r="I203" s="40">
        <v>0.85295656724228153</v>
      </c>
      <c r="J203" s="40">
        <v>0.86704730831973897</v>
      </c>
      <c r="K203" s="40">
        <v>0.86650931025439282</v>
      </c>
      <c r="L203" s="40">
        <v>0.84739308728763918</v>
      </c>
      <c r="M203" s="40">
        <v>0.84369652025099828</v>
      </c>
      <c r="N203" s="40">
        <v>0.87952392518824385</v>
      </c>
      <c r="O203" s="40">
        <v>0.92932438907522763</v>
      </c>
      <c r="P203" s="40">
        <v>0.8815756669159811</v>
      </c>
      <c r="Q203" s="40">
        <v>0.85784428337619822</v>
      </c>
      <c r="R203" s="40">
        <v>0.87325905292479111</v>
      </c>
      <c r="S203" s="40">
        <v>0.8790791238265534</v>
      </c>
      <c r="T203" s="90">
        <f t="shared" si="33"/>
        <v>1.2031815506814425</v>
      </c>
      <c r="U203" s="90">
        <f t="shared" si="34"/>
        <v>-5.0245265248674231</v>
      </c>
      <c r="V203" s="90">
        <f t="shared" si="35"/>
        <v>0.58200709017622865</v>
      </c>
      <c r="W203" s="148"/>
      <c r="X203" s="148"/>
      <c r="Y203" s="148"/>
    </row>
    <row r="204" spans="1:25" x14ac:dyDescent="0.25">
      <c r="A204" s="84" t="s">
        <v>336</v>
      </c>
      <c r="B204" s="41">
        <v>0.81802721088435371</v>
      </c>
      <c r="C204" s="41">
        <v>0.85829307568438007</v>
      </c>
      <c r="D204" s="41">
        <v>0.86486486486486491</v>
      </c>
      <c r="E204" s="41">
        <v>0.84224965706447186</v>
      </c>
      <c r="F204" s="41">
        <v>0.67685589519650657</v>
      </c>
      <c r="G204" s="41">
        <v>0.82486631016042777</v>
      </c>
      <c r="H204" s="41">
        <v>0.80843785632839227</v>
      </c>
      <c r="I204" s="41">
        <v>0.85493827160493829</v>
      </c>
      <c r="J204" s="41">
        <v>0.85760171306209854</v>
      </c>
      <c r="K204" s="41">
        <v>0.86986301369863017</v>
      </c>
      <c r="L204" s="41">
        <v>0.85488958990536279</v>
      </c>
      <c r="M204" s="41">
        <v>0.830078125</v>
      </c>
      <c r="N204" s="41">
        <v>0.87359307359307359</v>
      </c>
      <c r="O204" s="41">
        <v>0.93091537132987912</v>
      </c>
      <c r="P204" s="41">
        <v>0.90068493150684936</v>
      </c>
      <c r="Q204" s="41">
        <v>0.85363859362224037</v>
      </c>
      <c r="R204" s="41">
        <v>0.8708581138487681</v>
      </c>
      <c r="S204" s="41">
        <v>0.86914378029079165</v>
      </c>
      <c r="T204" s="89">
        <f t="shared" si="33"/>
        <v>1.1542067228693109</v>
      </c>
      <c r="U204" s="89">
        <f t="shared" si="34"/>
        <v>-6.177159103908747</v>
      </c>
      <c r="V204" s="89">
        <f t="shared" si="35"/>
        <v>-0.17143335579764551</v>
      </c>
      <c r="W204" s="148"/>
      <c r="X204" s="148"/>
      <c r="Y204" s="148"/>
    </row>
    <row r="205" spans="1:25" x14ac:dyDescent="0.25">
      <c r="A205" s="84" t="s">
        <v>337</v>
      </c>
      <c r="B205" s="41">
        <v>0.85599242065371861</v>
      </c>
      <c r="C205" s="41">
        <v>0.85851318944844124</v>
      </c>
      <c r="D205" s="41">
        <v>0.87920792079207921</v>
      </c>
      <c r="E205" s="41">
        <v>0.8776871756856931</v>
      </c>
      <c r="F205" s="41">
        <v>0.7483443708609272</v>
      </c>
      <c r="G205" s="41">
        <v>0.82352941176470584</v>
      </c>
      <c r="H205" s="41">
        <v>0.8413626978664831</v>
      </c>
      <c r="I205" s="41">
        <v>0.85228070175438597</v>
      </c>
      <c r="J205" s="41">
        <v>0.87026239067055389</v>
      </c>
      <c r="K205" s="41">
        <v>0.86528126119670368</v>
      </c>
      <c r="L205" s="41">
        <v>0.84449857896873726</v>
      </c>
      <c r="M205" s="41">
        <v>0.84931506849315064</v>
      </c>
      <c r="N205" s="41">
        <v>0.88183659689399052</v>
      </c>
      <c r="O205" s="41">
        <v>0.92871352785145889</v>
      </c>
      <c r="P205" s="41">
        <v>0.8737249384453043</v>
      </c>
      <c r="Q205" s="41">
        <v>0.85952848722986253</v>
      </c>
      <c r="R205" s="41">
        <v>0.87416160970935808</v>
      </c>
      <c r="S205" s="41">
        <v>0.8828800988875154</v>
      </c>
      <c r="T205" s="89">
        <f t="shared" si="33"/>
        <v>1.261770821696151</v>
      </c>
      <c r="U205" s="89">
        <f t="shared" si="34"/>
        <v>-4.583342896394349</v>
      </c>
      <c r="V205" s="89">
        <f t="shared" si="35"/>
        <v>0.87184891781573182</v>
      </c>
      <c r="W205" s="148"/>
      <c r="X205" s="148"/>
      <c r="Y205" s="148"/>
    </row>
    <row r="206" spans="1:25" x14ac:dyDescent="0.25">
      <c r="A206" s="81" t="s">
        <v>212</v>
      </c>
      <c r="B206" s="40">
        <v>0.78536880290205557</v>
      </c>
      <c r="C206" s="40">
        <v>0.74866310160427807</v>
      </c>
      <c r="D206" s="40">
        <v>0.78263244128891318</v>
      </c>
      <c r="E206" s="40">
        <v>0.81209247184350919</v>
      </c>
      <c r="F206" s="40">
        <v>0.76531231049120674</v>
      </c>
      <c r="G206" s="40">
        <v>0.78048780487804881</v>
      </c>
      <c r="H206" s="40">
        <v>0.7506613756613757</v>
      </c>
      <c r="I206" s="40">
        <v>0.75320296695886713</v>
      </c>
      <c r="J206" s="40">
        <v>0.80158247108947045</v>
      </c>
      <c r="K206" s="40">
        <v>0.80075798592311853</v>
      </c>
      <c r="L206" s="40">
        <v>0.80529671407552716</v>
      </c>
      <c r="M206" s="40">
        <v>0.82368896925858948</v>
      </c>
      <c r="N206" s="40">
        <v>0.81792376317923765</v>
      </c>
      <c r="O206" s="40">
        <v>0.86758620689655175</v>
      </c>
      <c r="P206" s="40">
        <v>0.86065825899723158</v>
      </c>
      <c r="Q206" s="40">
        <v>0.84125612215499856</v>
      </c>
      <c r="R206" s="40">
        <v>0.85864877815045515</v>
      </c>
      <c r="S206" s="40">
        <v>0.8777211672070403</v>
      </c>
      <c r="T206" s="90">
        <f t="shared" si="33"/>
        <v>7.6138696117569848</v>
      </c>
      <c r="U206" s="90">
        <f t="shared" si="34"/>
        <v>1.013496031048855</v>
      </c>
      <c r="V206" s="90">
        <f t="shared" si="35"/>
        <v>1.9072389056585148</v>
      </c>
      <c r="W206" s="148"/>
      <c r="X206" s="148"/>
      <c r="Y206" s="148"/>
    </row>
    <row r="207" spans="1:25" x14ac:dyDescent="0.25">
      <c r="A207" s="84" t="s">
        <v>336</v>
      </c>
      <c r="B207" s="41">
        <v>0.79607843137254897</v>
      </c>
      <c r="C207" s="41">
        <v>0.76047358834244083</v>
      </c>
      <c r="D207" s="41">
        <v>0.79386712095400336</v>
      </c>
      <c r="E207" s="41">
        <v>0.81261770244821097</v>
      </c>
      <c r="F207" s="41">
        <v>0.77158273381294962</v>
      </c>
      <c r="G207" s="41">
        <v>0.78618113912231558</v>
      </c>
      <c r="H207" s="41">
        <v>0.74876360039564782</v>
      </c>
      <c r="I207" s="41">
        <v>0.74242424242424243</v>
      </c>
      <c r="J207" s="41">
        <v>0.80993897122929381</v>
      </c>
      <c r="K207" s="41">
        <v>0.81616011860637505</v>
      </c>
      <c r="L207" s="41">
        <v>0.79876373626373631</v>
      </c>
      <c r="M207" s="41">
        <v>0.82900569981000638</v>
      </c>
      <c r="N207" s="41">
        <v>0.82130777903043972</v>
      </c>
      <c r="O207" s="41">
        <v>0.8721804511278195</v>
      </c>
      <c r="P207" s="41">
        <v>0.86886597938144328</v>
      </c>
      <c r="Q207" s="41">
        <v>0.84349514563106798</v>
      </c>
      <c r="R207" s="41">
        <v>0.857051282051282</v>
      </c>
      <c r="S207" s="41">
        <v>0.88909599254426841</v>
      </c>
      <c r="T207" s="89">
        <f t="shared" si="33"/>
        <v>7.9157021314974596</v>
      </c>
      <c r="U207" s="89">
        <f t="shared" si="34"/>
        <v>1.6915541416448909</v>
      </c>
      <c r="V207" s="89">
        <f t="shared" si="35"/>
        <v>3.2044710492986406</v>
      </c>
      <c r="W207" s="148"/>
      <c r="X207" s="148"/>
      <c r="Y207" s="148"/>
    </row>
    <row r="208" spans="1:25" x14ac:dyDescent="0.25">
      <c r="A208" s="84" t="s">
        <v>337</v>
      </c>
      <c r="B208" s="41">
        <v>0.76813880126182965</v>
      </c>
      <c r="C208" s="41">
        <v>0.73186528497409331</v>
      </c>
      <c r="D208" s="41">
        <v>0.76255707762557079</v>
      </c>
      <c r="E208" s="41">
        <v>0.81120000000000003</v>
      </c>
      <c r="F208" s="41">
        <v>0.75232774674115455</v>
      </c>
      <c r="G208" s="41">
        <v>0.76893939393939392</v>
      </c>
      <c r="H208" s="41">
        <v>0.75449101796407181</v>
      </c>
      <c r="I208" s="41">
        <v>0.77985948477751754</v>
      </c>
      <c r="J208" s="41">
        <v>0.782258064516129</v>
      </c>
      <c r="K208" s="41">
        <v>0.75903614457831325</v>
      </c>
      <c r="L208" s="41">
        <v>0.82161234991423671</v>
      </c>
      <c r="M208" s="41">
        <v>0.81042654028436023</v>
      </c>
      <c r="N208" s="41">
        <v>0.80924855491329484</v>
      </c>
      <c r="O208" s="41">
        <v>0.85492227979274615</v>
      </c>
      <c r="P208" s="41">
        <v>0.83656174334140432</v>
      </c>
      <c r="Q208" s="41">
        <v>0.8348214285714286</v>
      </c>
      <c r="R208" s="41">
        <v>0.86337760910815942</v>
      </c>
      <c r="S208" s="41">
        <v>0.84440400363967238</v>
      </c>
      <c r="T208" s="89">
        <f t="shared" si="33"/>
        <v>6.2145939123543386</v>
      </c>
      <c r="U208" s="89">
        <f t="shared" si="34"/>
        <v>-1.0518276153073769</v>
      </c>
      <c r="V208" s="89">
        <f t="shared" si="35"/>
        <v>-1.8973605468487031</v>
      </c>
      <c r="W208" s="148"/>
      <c r="X208" s="148"/>
      <c r="Y208" s="148"/>
    </row>
    <row r="209" spans="1:25" x14ac:dyDescent="0.25">
      <c r="A209" s="81" t="s">
        <v>55</v>
      </c>
      <c r="B209" s="40">
        <v>0.63908045977011496</v>
      </c>
      <c r="C209" s="40">
        <v>0.69087523277467411</v>
      </c>
      <c r="D209" s="40">
        <v>0.71886559802712702</v>
      </c>
      <c r="E209" s="40">
        <v>0.73598258029395758</v>
      </c>
      <c r="F209" s="40">
        <v>0.70313358988455199</v>
      </c>
      <c r="G209" s="40">
        <v>0.67745664739884393</v>
      </c>
      <c r="H209" s="40">
        <v>0.68624161073825507</v>
      </c>
      <c r="I209" s="40">
        <v>0.72986301369863016</v>
      </c>
      <c r="J209" s="40">
        <v>0.7490890161374284</v>
      </c>
      <c r="K209" s="40">
        <v>0.73561578697099383</v>
      </c>
      <c r="L209" s="40">
        <v>0.76623992413466102</v>
      </c>
      <c r="M209" s="40">
        <v>0.77023255813953484</v>
      </c>
      <c r="N209" s="40">
        <v>0.81897265948632969</v>
      </c>
      <c r="O209" s="40">
        <v>0.86063275931117345</v>
      </c>
      <c r="P209" s="40">
        <v>0.82591529073941139</v>
      </c>
      <c r="Q209" s="40">
        <v>0.78098637248539904</v>
      </c>
      <c r="R209" s="40">
        <v>0.842255125284738</v>
      </c>
      <c r="S209" s="40">
        <v>0.83712121212121215</v>
      </c>
      <c r="T209" s="90">
        <f t="shared" si="33"/>
        <v>8.8032195983783765</v>
      </c>
      <c r="U209" s="90">
        <f t="shared" si="34"/>
        <v>-2.351154718996129</v>
      </c>
      <c r="V209" s="90">
        <f t="shared" si="35"/>
        <v>-0.51339131635258495</v>
      </c>
      <c r="W209" s="148"/>
      <c r="X209" s="148"/>
      <c r="Y209" s="148"/>
    </row>
    <row r="210" spans="1:25" x14ac:dyDescent="0.25">
      <c r="A210" s="84" t="s">
        <v>336</v>
      </c>
      <c r="B210" s="41">
        <v>0.65573770491803274</v>
      </c>
      <c r="C210" s="41">
        <v>0.72093023255813948</v>
      </c>
      <c r="D210" s="41">
        <v>0.75652173913043474</v>
      </c>
      <c r="E210" s="41">
        <v>0.71365638766519823</v>
      </c>
      <c r="F210" s="41">
        <v>0.69377990430622005</v>
      </c>
      <c r="G210" s="41">
        <v>0.68316831683168322</v>
      </c>
      <c r="H210" s="41">
        <v>0.63594470046082952</v>
      </c>
      <c r="I210" s="41">
        <v>0.73232323232323238</v>
      </c>
      <c r="J210" s="41">
        <v>0.70918367346938771</v>
      </c>
      <c r="K210" s="41">
        <v>0.73593073593073588</v>
      </c>
      <c r="L210" s="41">
        <v>0.74042553191489358</v>
      </c>
      <c r="M210" s="41">
        <v>0.7695852534562212</v>
      </c>
      <c r="N210" s="41">
        <v>0.84</v>
      </c>
      <c r="O210" s="41">
        <v>0.81147540983606559</v>
      </c>
      <c r="P210" s="41">
        <v>0.80817610062893086</v>
      </c>
      <c r="Q210" s="41">
        <v>0.77540106951871657</v>
      </c>
      <c r="R210" s="41">
        <v>0.86499999999999999</v>
      </c>
      <c r="S210" s="41">
        <v>0.81166666666666665</v>
      </c>
      <c r="T210" s="89">
        <f t="shared" si="33"/>
        <v>10.248299319727893</v>
      </c>
      <c r="U210" s="89">
        <f t="shared" si="34"/>
        <v>1.9125683060106091E-2</v>
      </c>
      <c r="V210" s="89">
        <f t="shared" si="35"/>
        <v>-5.3333333333333339</v>
      </c>
      <c r="W210" s="148"/>
      <c r="X210" s="148"/>
      <c r="Y210" s="148"/>
    </row>
    <row r="211" spans="1:25" x14ac:dyDescent="0.25">
      <c r="A211" s="84" t="s">
        <v>337</v>
      </c>
      <c r="B211" s="41">
        <v>0.63636363636363635</v>
      </c>
      <c r="C211" s="41">
        <v>0.68624641833810884</v>
      </c>
      <c r="D211" s="41">
        <v>0.71264367816091956</v>
      </c>
      <c r="E211" s="41">
        <v>0.73913043478260865</v>
      </c>
      <c r="F211" s="41">
        <v>0.70434782608695656</v>
      </c>
      <c r="G211" s="41">
        <v>0.67670157068062831</v>
      </c>
      <c r="H211" s="41">
        <v>0.69318905155951627</v>
      </c>
      <c r="I211" s="41">
        <v>0.72956361401352177</v>
      </c>
      <c r="J211" s="41">
        <v>0.75362318840579712</v>
      </c>
      <c r="K211" s="41">
        <v>0.73557692307692313</v>
      </c>
      <c r="L211" s="41">
        <v>0.76947705442902881</v>
      </c>
      <c r="M211" s="41">
        <v>0.77030522503879983</v>
      </c>
      <c r="N211" s="41">
        <v>0.81681132937414347</v>
      </c>
      <c r="O211" s="41">
        <v>0.86595650244118949</v>
      </c>
      <c r="P211" s="41">
        <v>0.82820097244732582</v>
      </c>
      <c r="Q211" s="41">
        <v>0.78175775480059084</v>
      </c>
      <c r="R211" s="41">
        <v>0.83933161953727509</v>
      </c>
      <c r="S211" s="41">
        <v>0.84166666666666667</v>
      </c>
      <c r="T211" s="89">
        <f t="shared" si="33"/>
        <v>8.8043478260869552</v>
      </c>
      <c r="U211" s="89">
        <f t="shared" si="34"/>
        <v>-2.4289835774522817</v>
      </c>
      <c r="V211" s="89">
        <f t="shared" si="35"/>
        <v>0.23350471293915875</v>
      </c>
      <c r="W211" s="148"/>
      <c r="X211" s="148"/>
      <c r="Y211" s="148"/>
    </row>
    <row r="212" spans="1:25" x14ac:dyDescent="0.25">
      <c r="A212" s="81" t="s">
        <v>54</v>
      </c>
      <c r="B212" s="40">
        <v>0.73121131741821399</v>
      </c>
      <c r="C212" s="40">
        <v>0.73081708834508508</v>
      </c>
      <c r="D212" s="40">
        <v>0.75156054931335825</v>
      </c>
      <c r="E212" s="40">
        <v>0.74043261231281199</v>
      </c>
      <c r="F212" s="40">
        <v>0.73364485981308414</v>
      </c>
      <c r="G212" s="40">
        <v>0.74420529801324509</v>
      </c>
      <c r="H212" s="40">
        <v>0.74103237095363084</v>
      </c>
      <c r="I212" s="40">
        <v>0.7744328097731239</v>
      </c>
      <c r="J212" s="40">
        <v>0.75020576131687244</v>
      </c>
      <c r="K212" s="40">
        <v>0.75649095200629424</v>
      </c>
      <c r="L212" s="40">
        <v>0.78</v>
      </c>
      <c r="M212" s="40">
        <v>0.77446651949963208</v>
      </c>
      <c r="N212" s="40">
        <v>0.79238374221896746</v>
      </c>
      <c r="O212" s="40">
        <v>0.83494797273053467</v>
      </c>
      <c r="P212" s="40">
        <v>0.80950808847804556</v>
      </c>
      <c r="Q212" s="40">
        <v>0.80994336060415351</v>
      </c>
      <c r="R212" s="40">
        <v>0.81881630374092684</v>
      </c>
      <c r="S212" s="40">
        <v>0.83309227654035289</v>
      </c>
      <c r="T212" s="90">
        <f t="shared" si="33"/>
        <v>8.2886515223480455</v>
      </c>
      <c r="U212" s="90">
        <f t="shared" si="34"/>
        <v>-0.1855696190181777</v>
      </c>
      <c r="V212" s="90">
        <f t="shared" si="35"/>
        <v>1.4275972799426051</v>
      </c>
      <c r="W212" s="148"/>
      <c r="X212" s="148"/>
      <c r="Y212" s="148"/>
    </row>
    <row r="213" spans="1:25" x14ac:dyDescent="0.25">
      <c r="A213" s="84" t="s">
        <v>336</v>
      </c>
      <c r="B213" s="41">
        <v>0.74665293511843456</v>
      </c>
      <c r="C213" s="41">
        <v>0.73881932021466901</v>
      </c>
      <c r="D213" s="41">
        <v>0.75159235668789814</v>
      </c>
      <c r="E213" s="41">
        <v>0.74720149253731338</v>
      </c>
      <c r="F213" s="41">
        <v>0.72876712328767124</v>
      </c>
      <c r="G213" s="41">
        <v>0.75409836065573765</v>
      </c>
      <c r="H213" s="41">
        <v>0.74087266251113093</v>
      </c>
      <c r="I213" s="41">
        <v>0.77223230490018147</v>
      </c>
      <c r="J213" s="41">
        <v>0.77906018136850785</v>
      </c>
      <c r="K213" s="41">
        <v>0.77708006279434849</v>
      </c>
      <c r="L213" s="41">
        <v>0.79557195571955719</v>
      </c>
      <c r="M213" s="41">
        <v>0.78712509144111198</v>
      </c>
      <c r="N213" s="41">
        <v>0.79708029197080288</v>
      </c>
      <c r="O213" s="41">
        <v>0.86814712005551697</v>
      </c>
      <c r="P213" s="41">
        <v>0.8134872417982989</v>
      </c>
      <c r="Q213" s="41">
        <v>0.83265067290813344</v>
      </c>
      <c r="R213" s="41">
        <v>0.83375188347564033</v>
      </c>
      <c r="S213" s="41">
        <v>0.85461887935386172</v>
      </c>
      <c r="T213" s="89">
        <f t="shared" si="33"/>
        <v>7.5558697985353866</v>
      </c>
      <c r="U213" s="89">
        <f t="shared" si="34"/>
        <v>-1.3528240701655259</v>
      </c>
      <c r="V213" s="89">
        <f t="shared" si="35"/>
        <v>2.0866995878221384</v>
      </c>
      <c r="W213" s="148"/>
      <c r="X213" s="148"/>
      <c r="Y213" s="148"/>
    </row>
    <row r="214" spans="1:25" x14ac:dyDescent="0.25">
      <c r="A214" s="84" t="s">
        <v>337</v>
      </c>
      <c r="B214" s="41">
        <v>0.71959721146398137</v>
      </c>
      <c r="C214" s="41">
        <v>0.72389791183294661</v>
      </c>
      <c r="D214" s="41">
        <v>0.75153374233128833</v>
      </c>
      <c r="E214" s="41">
        <v>0.73498498498498499</v>
      </c>
      <c r="F214" s="41">
        <v>0.73788721207307384</v>
      </c>
      <c r="G214" s="41">
        <v>0.73508353221957046</v>
      </c>
      <c r="H214" s="41">
        <v>0.74118658641444535</v>
      </c>
      <c r="I214" s="41">
        <v>0.77647058823529413</v>
      </c>
      <c r="J214" s="41">
        <v>0.72144617912900577</v>
      </c>
      <c r="K214" s="41">
        <v>0.73580441640378547</v>
      </c>
      <c r="L214" s="41">
        <v>0.76431226765799254</v>
      </c>
      <c r="M214" s="41">
        <v>0.76165803108808294</v>
      </c>
      <c r="N214" s="41">
        <v>0.78765613519470978</v>
      </c>
      <c r="O214" s="41">
        <v>0.799405646359584</v>
      </c>
      <c r="P214" s="41">
        <v>0.8047722342733189</v>
      </c>
      <c r="Q214" s="41">
        <v>0.78352620830496933</v>
      </c>
      <c r="R214" s="41">
        <v>0.80012570710245123</v>
      </c>
      <c r="S214" s="41">
        <v>0.80420054200542002</v>
      </c>
      <c r="T214" s="89">
        <f t="shared" si="33"/>
        <v>8.2754362876414245</v>
      </c>
      <c r="U214" s="89">
        <f t="shared" si="34"/>
        <v>0.4794895645836017</v>
      </c>
      <c r="V214" s="89">
        <f t="shared" si="35"/>
        <v>0.40748349029687825</v>
      </c>
      <c r="W214" s="148"/>
      <c r="X214" s="148"/>
      <c r="Y214" s="148"/>
    </row>
    <row r="215" spans="1:25" x14ac:dyDescent="0.25">
      <c r="A215" s="81" t="s">
        <v>48</v>
      </c>
      <c r="B215" s="40">
        <v>0.78910614525139666</v>
      </c>
      <c r="C215" s="40">
        <v>0.80318471337579622</v>
      </c>
      <c r="D215" s="40">
        <v>0.80625383200490497</v>
      </c>
      <c r="E215" s="40">
        <v>0.82677165354330706</v>
      </c>
      <c r="F215" s="40">
        <v>0.77850326469110998</v>
      </c>
      <c r="G215" s="40">
        <v>0.8</v>
      </c>
      <c r="H215" s="40">
        <v>0.81923572348647489</v>
      </c>
      <c r="I215" s="40">
        <v>0.80061215566243993</v>
      </c>
      <c r="J215" s="40">
        <v>0.81728395061728398</v>
      </c>
      <c r="K215" s="40">
        <v>0.85033477747144548</v>
      </c>
      <c r="L215" s="40">
        <v>0.84996191926885001</v>
      </c>
      <c r="M215" s="40">
        <v>0.85802693847834</v>
      </c>
      <c r="N215" s="40">
        <v>0.85516997167138808</v>
      </c>
      <c r="O215" s="40">
        <v>0.90555155010814703</v>
      </c>
      <c r="P215" s="40">
        <v>0.8732970027247956</v>
      </c>
      <c r="Q215" s="40">
        <v>0.85462097611630317</v>
      </c>
      <c r="R215" s="40">
        <v>0.85546270504487776</v>
      </c>
      <c r="S215" s="40">
        <v>0.87137049941927991</v>
      </c>
      <c r="T215" s="90">
        <f t="shared" si="33"/>
        <v>5.4086548801995926</v>
      </c>
      <c r="U215" s="90">
        <f t="shared" si="34"/>
        <v>-3.4181050688867121</v>
      </c>
      <c r="V215" s="90">
        <f t="shared" si="35"/>
        <v>1.5907794374402151</v>
      </c>
      <c r="W215" s="148"/>
      <c r="X215" s="148"/>
      <c r="Y215" s="148"/>
    </row>
    <row r="216" spans="1:25" x14ac:dyDescent="0.25">
      <c r="A216" s="84" t="s">
        <v>336</v>
      </c>
      <c r="B216" s="41">
        <v>0.78514285714285714</v>
      </c>
      <c r="C216" s="41">
        <v>0.80901287553648071</v>
      </c>
      <c r="D216" s="41">
        <v>0.7978494623655914</v>
      </c>
      <c r="E216" s="41">
        <v>0.82638215324927256</v>
      </c>
      <c r="F216" s="41">
        <v>0.76703111858704798</v>
      </c>
      <c r="G216" s="41">
        <v>0.78939929328621905</v>
      </c>
      <c r="H216" s="41">
        <v>0.83129935391241927</v>
      </c>
      <c r="I216" s="41">
        <v>0.79841612670986317</v>
      </c>
      <c r="J216" s="41">
        <v>0.82145236508994002</v>
      </c>
      <c r="K216" s="41">
        <v>0.84806810740013094</v>
      </c>
      <c r="L216" s="41">
        <v>0.84959093769666461</v>
      </c>
      <c r="M216" s="41">
        <v>0.85189644792293795</v>
      </c>
      <c r="N216" s="41">
        <v>0.84583821805392734</v>
      </c>
      <c r="O216" s="41">
        <v>0.92161383285302589</v>
      </c>
      <c r="P216" s="41">
        <v>0.87895310796074155</v>
      </c>
      <c r="Q216" s="41">
        <v>0.85421286031042132</v>
      </c>
      <c r="R216" s="41">
        <v>0.85441176470588232</v>
      </c>
      <c r="S216" s="41">
        <v>0.86636363636363634</v>
      </c>
      <c r="T216" s="89">
        <f t="shared" si="33"/>
        <v>4.4911271273696318</v>
      </c>
      <c r="U216" s="89">
        <f t="shared" si="34"/>
        <v>-5.5250196489389563</v>
      </c>
      <c r="V216" s="89">
        <f t="shared" si="35"/>
        <v>1.1951871657754021</v>
      </c>
      <c r="W216" s="148"/>
      <c r="X216" s="148"/>
      <c r="Y216" s="148"/>
    </row>
    <row r="217" spans="1:25" x14ac:dyDescent="0.25">
      <c r="A217" s="84" t="s">
        <v>337</v>
      </c>
      <c r="B217" s="41">
        <v>0.79533213644524237</v>
      </c>
      <c r="C217" s="41">
        <v>0.79467084639498431</v>
      </c>
      <c r="D217" s="41">
        <v>0.81740370898716119</v>
      </c>
      <c r="E217" s="41">
        <v>0.82730923694779113</v>
      </c>
      <c r="F217" s="41">
        <v>0.79551122194513713</v>
      </c>
      <c r="G217" s="41">
        <v>0.81657458563535912</v>
      </c>
      <c r="H217" s="41">
        <v>0.80128205128205132</v>
      </c>
      <c r="I217" s="41">
        <v>0.80400890868596886</v>
      </c>
      <c r="J217" s="41">
        <v>0.81054897739504839</v>
      </c>
      <c r="K217" s="41">
        <v>0.85375494071146241</v>
      </c>
      <c r="L217" s="41">
        <v>0.85053037608486015</v>
      </c>
      <c r="M217" s="41">
        <v>0.86740331491712708</v>
      </c>
      <c r="N217" s="41">
        <v>0.86940966010733456</v>
      </c>
      <c r="O217" s="41">
        <v>0.87872954764196343</v>
      </c>
      <c r="P217" s="41">
        <v>0.86388384754990921</v>
      </c>
      <c r="Q217" s="41">
        <v>0.85529953917050694</v>
      </c>
      <c r="R217" s="41">
        <v>0.85726280436607893</v>
      </c>
      <c r="S217" s="41">
        <v>0.88022508038585212</v>
      </c>
      <c r="T217" s="89">
        <f t="shared" si="33"/>
        <v>6.9676102990803734</v>
      </c>
      <c r="U217" s="89">
        <f t="shared" si="34"/>
        <v>0.14955327438886945</v>
      </c>
      <c r="V217" s="89">
        <f t="shared" si="35"/>
        <v>2.2962276019773187</v>
      </c>
      <c r="W217" s="148"/>
      <c r="X217" s="148"/>
      <c r="Y217" s="148"/>
    </row>
    <row r="218" spans="1:25" x14ac:dyDescent="0.25">
      <c r="A218" s="81" t="s">
        <v>43</v>
      </c>
      <c r="B218" s="40">
        <v>0.8183556405353728</v>
      </c>
      <c r="C218" s="40">
        <v>0.7892875189489641</v>
      </c>
      <c r="D218" s="40">
        <v>0.79919839679358717</v>
      </c>
      <c r="E218" s="40">
        <v>0.80269814502529513</v>
      </c>
      <c r="F218" s="40">
        <v>0.75060532687651327</v>
      </c>
      <c r="G218" s="40">
        <v>0.73120665742024971</v>
      </c>
      <c r="H218" s="40">
        <v>0.75096277278562262</v>
      </c>
      <c r="I218" s="40">
        <v>0.75946034879894697</v>
      </c>
      <c r="J218" s="40">
        <v>0.7585868498527969</v>
      </c>
      <c r="K218" s="40">
        <v>0.75987361769352291</v>
      </c>
      <c r="L218" s="40">
        <v>0.78709864043968758</v>
      </c>
      <c r="M218" s="40">
        <v>0.7659640421574706</v>
      </c>
      <c r="N218" s="40">
        <v>0.74202898550724639</v>
      </c>
      <c r="O218" s="40">
        <v>0.85947839626313738</v>
      </c>
      <c r="P218" s="40">
        <v>0.82878030011542902</v>
      </c>
      <c r="Q218" s="40">
        <v>0.79622915155910079</v>
      </c>
      <c r="R218" s="40">
        <v>0.79531600898299648</v>
      </c>
      <c r="S218" s="40">
        <v>0.81218749999999995</v>
      </c>
      <c r="T218" s="90">
        <f t="shared" si="33"/>
        <v>5.3600650147203055</v>
      </c>
      <c r="U218" s="90">
        <f t="shared" si="34"/>
        <v>-4.7290896263137423</v>
      </c>
      <c r="V218" s="90">
        <f t="shared" si="35"/>
        <v>1.687149101700347</v>
      </c>
      <c r="W218" s="148"/>
      <c r="X218" s="148"/>
      <c r="Y218" s="148"/>
    </row>
    <row r="219" spans="1:25" x14ac:dyDescent="0.25">
      <c r="A219" s="84" t="s">
        <v>336</v>
      </c>
      <c r="B219" s="41">
        <v>0.82442196531791911</v>
      </c>
      <c r="C219" s="41">
        <v>0.80034324942791757</v>
      </c>
      <c r="D219" s="41">
        <v>0.80127041742286753</v>
      </c>
      <c r="E219" s="41">
        <v>0.80508474576271183</v>
      </c>
      <c r="F219" s="41">
        <v>0.76075085324232083</v>
      </c>
      <c r="G219" s="41">
        <v>0.73896713615023479</v>
      </c>
      <c r="H219" s="41">
        <v>0.75683558148013119</v>
      </c>
      <c r="I219" s="41">
        <v>0.76457399103139012</v>
      </c>
      <c r="J219" s="41">
        <v>0.76710280373831774</v>
      </c>
      <c r="K219" s="41">
        <v>0.7654545454545455</v>
      </c>
      <c r="L219" s="41">
        <v>0.79292929292929293</v>
      </c>
      <c r="M219" s="41">
        <v>0.76798229435632603</v>
      </c>
      <c r="N219" s="41">
        <v>0.75372480280455745</v>
      </c>
      <c r="O219" s="41">
        <v>0.87233032747982919</v>
      </c>
      <c r="P219" s="41">
        <v>0.83615023474178407</v>
      </c>
      <c r="Q219" s="41">
        <v>0.80119375573921026</v>
      </c>
      <c r="R219" s="41">
        <v>0.79594370860927155</v>
      </c>
      <c r="S219" s="41">
        <v>0.81431578947368422</v>
      </c>
      <c r="T219" s="89">
        <f t="shared" si="33"/>
        <v>4.7212985735366475</v>
      </c>
      <c r="U219" s="89">
        <f t="shared" si="34"/>
        <v>-5.8014538006144978</v>
      </c>
      <c r="V219" s="89">
        <f t="shared" si="35"/>
        <v>1.8372080864412665</v>
      </c>
      <c r="W219" s="148"/>
      <c r="X219" s="148"/>
      <c r="Y219" s="148"/>
    </row>
    <row r="220" spans="1:25" x14ac:dyDescent="0.25">
      <c r="A220" s="84" t="s">
        <v>337</v>
      </c>
      <c r="B220" s="41">
        <v>0.77297297297297296</v>
      </c>
      <c r="C220" s="41">
        <v>0.7056277056277056</v>
      </c>
      <c r="D220" s="41">
        <v>0.78350515463917525</v>
      </c>
      <c r="E220" s="41">
        <v>0.78590785907859073</v>
      </c>
      <c r="F220" s="41">
        <v>0.67112299465240643</v>
      </c>
      <c r="G220" s="41">
        <v>0.67073170731707321</v>
      </c>
      <c r="H220" s="41">
        <v>0.70777479892761397</v>
      </c>
      <c r="I220" s="41">
        <v>0.721763085399449</v>
      </c>
      <c r="J220" s="41">
        <v>0.69895287958115182</v>
      </c>
      <c r="K220" s="41">
        <v>0.72289156626506024</v>
      </c>
      <c r="L220" s="41">
        <v>0.75154004106776184</v>
      </c>
      <c r="M220" s="41">
        <v>0.75533980582524274</v>
      </c>
      <c r="N220" s="41">
        <v>0.68619246861924688</v>
      </c>
      <c r="O220" s="41">
        <v>0.80086580086580084</v>
      </c>
      <c r="P220" s="41">
        <v>0.79530916844349675</v>
      </c>
      <c r="Q220" s="41">
        <v>0.77758620689655178</v>
      </c>
      <c r="R220" s="41">
        <v>0.7931526390870185</v>
      </c>
      <c r="S220" s="41">
        <v>0.80606060606060603</v>
      </c>
      <c r="T220" s="89">
        <f t="shared" si="33"/>
        <v>10.710772647945422</v>
      </c>
      <c r="U220" s="89">
        <f t="shared" si="34"/>
        <v>0.51948051948051965</v>
      </c>
      <c r="V220" s="89">
        <f t="shared" si="35"/>
        <v>1.2907966973587537</v>
      </c>
      <c r="W220" s="148"/>
      <c r="X220" s="148"/>
      <c r="Y220" s="148"/>
    </row>
    <row r="221" spans="1:25" x14ac:dyDescent="0.25">
      <c r="A221" s="81" t="s">
        <v>51</v>
      </c>
      <c r="B221" s="40">
        <v>0.91164884637028698</v>
      </c>
      <c r="C221" s="40">
        <v>0.89825119236883944</v>
      </c>
      <c r="D221" s="40">
        <v>0.93698770491803274</v>
      </c>
      <c r="E221" s="40">
        <v>0.93595041322314054</v>
      </c>
      <c r="F221" s="40">
        <v>0.90133201776023675</v>
      </c>
      <c r="G221" s="40">
        <v>0.91093117408906887</v>
      </c>
      <c r="H221" s="40">
        <v>0.93724696356275305</v>
      </c>
      <c r="I221" s="40">
        <v>0.94708209693372902</v>
      </c>
      <c r="J221" s="40">
        <v>0.94736842105263153</v>
      </c>
      <c r="K221" s="40">
        <v>0.93647058823529417</v>
      </c>
      <c r="L221" s="40">
        <v>0.94404332129963897</v>
      </c>
      <c r="M221" s="40">
        <v>0.94543147208121825</v>
      </c>
      <c r="N221" s="40">
        <v>0.94185567010309279</v>
      </c>
      <c r="O221" s="40">
        <v>0.95483596080102262</v>
      </c>
      <c r="P221" s="40">
        <v>0.94732937685459939</v>
      </c>
      <c r="Q221" s="40">
        <v>0.9532334672999635</v>
      </c>
      <c r="R221" s="40">
        <v>0.95549469359808281</v>
      </c>
      <c r="S221" s="40">
        <v>0.95845600261694475</v>
      </c>
      <c r="T221" s="90">
        <f t="shared" si="33"/>
        <v>1.108758156431322</v>
      </c>
      <c r="U221" s="90">
        <f t="shared" si="34"/>
        <v>0.36200418159221259</v>
      </c>
      <c r="V221" s="90">
        <f t="shared" si="35"/>
        <v>0.29613090188619351</v>
      </c>
      <c r="W221" s="148"/>
      <c r="X221" s="148"/>
      <c r="Y221" s="148"/>
    </row>
    <row r="222" spans="1:25" x14ac:dyDescent="0.25">
      <c r="A222" s="84" t="s">
        <v>336</v>
      </c>
      <c r="B222" s="41">
        <v>0.91214470284237725</v>
      </c>
      <c r="C222" s="41">
        <v>0.89988998899889994</v>
      </c>
      <c r="D222" s="41">
        <v>0.93062966915688372</v>
      </c>
      <c r="E222" s="41">
        <v>0.9381898454746137</v>
      </c>
      <c r="F222" s="41">
        <v>0.89944751381215471</v>
      </c>
      <c r="G222" s="41">
        <v>0.91014799154334036</v>
      </c>
      <c r="H222" s="41">
        <v>0.93507853403141361</v>
      </c>
      <c r="I222" s="41">
        <v>0.94731509625126642</v>
      </c>
      <c r="J222" s="41">
        <v>0.95660559305689485</v>
      </c>
      <c r="K222" s="41">
        <v>0.93524514338575393</v>
      </c>
      <c r="L222" s="41">
        <v>0.94314381270903014</v>
      </c>
      <c r="M222" s="41">
        <v>0.95043731778425655</v>
      </c>
      <c r="N222" s="41">
        <v>0.95011005135730009</v>
      </c>
      <c r="O222" s="41">
        <v>0.96486090775988287</v>
      </c>
      <c r="P222" s="41">
        <v>0.94153471376370279</v>
      </c>
      <c r="Q222" s="41">
        <v>0.95289855072463769</v>
      </c>
      <c r="R222" s="41">
        <v>0.95449374288964728</v>
      </c>
      <c r="S222" s="41">
        <v>0.96386192017259975</v>
      </c>
      <c r="T222" s="89">
        <f t="shared" si="33"/>
        <v>0.7256327115704897</v>
      </c>
      <c r="U222" s="89">
        <f t="shared" si="34"/>
        <v>-9.9898758728311776E-2</v>
      </c>
      <c r="V222" s="89">
        <f t="shared" si="35"/>
        <v>0.93681772829524723</v>
      </c>
      <c r="W222" s="148"/>
      <c r="X222" s="148"/>
      <c r="Y222" s="148"/>
    </row>
    <row r="223" spans="1:25" x14ac:dyDescent="0.25">
      <c r="A223" s="84" t="s">
        <v>337</v>
      </c>
      <c r="B223" s="41">
        <v>0.9112662013958126</v>
      </c>
      <c r="C223" s="41">
        <v>0.89672801635991817</v>
      </c>
      <c r="D223" s="41">
        <v>0.94285714285714284</v>
      </c>
      <c r="E223" s="41">
        <v>0.93398058252427185</v>
      </c>
      <c r="F223" s="41">
        <v>0.90285204991087342</v>
      </c>
      <c r="G223" s="41">
        <v>0.9116504854368932</v>
      </c>
      <c r="H223" s="41">
        <v>0.93927522037218414</v>
      </c>
      <c r="I223" s="41">
        <v>0.9468599033816425</v>
      </c>
      <c r="J223" s="41">
        <v>0.93716719914802982</v>
      </c>
      <c r="K223" s="41">
        <v>0.9377394636015326</v>
      </c>
      <c r="L223" s="41">
        <v>0.94509803921568625</v>
      </c>
      <c r="M223" s="41">
        <v>0.938508064516129</v>
      </c>
      <c r="N223" s="41">
        <v>0.93126177024482104</v>
      </c>
      <c r="O223" s="41">
        <v>0.94087665647298679</v>
      </c>
      <c r="P223" s="41">
        <v>0.9563567362428842</v>
      </c>
      <c r="Q223" s="41">
        <v>0.9537465309898242</v>
      </c>
      <c r="R223" s="41">
        <v>0.95700773860705068</v>
      </c>
      <c r="S223" s="41">
        <v>0.95012468827930174</v>
      </c>
      <c r="T223" s="89">
        <f t="shared" si="33"/>
        <v>1.2957489131271926</v>
      </c>
      <c r="U223" s="89">
        <f t="shared" si="34"/>
        <v>0.92480318063149491</v>
      </c>
      <c r="V223" s="89">
        <f t="shared" si="35"/>
        <v>-0.68830503277489408</v>
      </c>
      <c r="W223" s="148"/>
      <c r="X223" s="148"/>
      <c r="Y223" s="148"/>
    </row>
    <row r="224" spans="1:25" x14ac:dyDescent="0.25">
      <c r="A224" s="81" t="s">
        <v>53</v>
      </c>
      <c r="B224" s="40">
        <v>0.84615384615384615</v>
      </c>
      <c r="C224" s="40">
        <v>0.87862318840579712</v>
      </c>
      <c r="D224" s="40">
        <v>0.86011080332409973</v>
      </c>
      <c r="E224" s="40">
        <v>0.85557432432432434</v>
      </c>
      <c r="F224" s="40">
        <v>0.82522903453136009</v>
      </c>
      <c r="G224" s="40">
        <v>0.80927835051546393</v>
      </c>
      <c r="H224" s="40">
        <v>0.8080862533692722</v>
      </c>
      <c r="I224" s="40">
        <v>0.8434879821129122</v>
      </c>
      <c r="J224" s="40">
        <v>0.85693069306930691</v>
      </c>
      <c r="K224" s="40">
        <v>0.85415699024616809</v>
      </c>
      <c r="L224" s="40">
        <v>0.86457023060796645</v>
      </c>
      <c r="M224" s="40">
        <v>0.86877139596804864</v>
      </c>
      <c r="N224" s="40">
        <v>0.86287878787878791</v>
      </c>
      <c r="O224" s="40">
        <v>0.89496630994847404</v>
      </c>
      <c r="P224" s="40">
        <v>0.8896551724137931</v>
      </c>
      <c r="Q224" s="40">
        <v>0.88869789428448642</v>
      </c>
      <c r="R224" s="40">
        <v>0.84062161185399353</v>
      </c>
      <c r="S224" s="40">
        <v>0.8838276836158192</v>
      </c>
      <c r="T224" s="90">
        <f t="shared" si="33"/>
        <v>2.6896990546512289</v>
      </c>
      <c r="U224" s="90">
        <f t="shared" si="34"/>
        <v>-1.1138626332654833</v>
      </c>
      <c r="V224" s="90">
        <f t="shared" si="35"/>
        <v>4.3206071761825671</v>
      </c>
      <c r="W224" s="148"/>
      <c r="X224" s="148"/>
      <c r="Y224" s="148"/>
    </row>
    <row r="225" spans="1:25" x14ac:dyDescent="0.25">
      <c r="A225" s="84" t="s">
        <v>336</v>
      </c>
      <c r="B225" s="41">
        <v>0.83918128654970758</v>
      </c>
      <c r="C225" s="41">
        <v>0.89670329670329674</v>
      </c>
      <c r="D225" s="41">
        <v>0.856401384083045</v>
      </c>
      <c r="E225" s="41">
        <v>0.85833333333333328</v>
      </c>
      <c r="F225" s="41">
        <v>0.82931034482758625</v>
      </c>
      <c r="G225" s="41">
        <v>0.81613123718386871</v>
      </c>
      <c r="H225" s="41">
        <v>0.81026640675763484</v>
      </c>
      <c r="I225" s="41">
        <v>0.84259879437374419</v>
      </c>
      <c r="J225" s="41">
        <v>0.85963890506697727</v>
      </c>
      <c r="K225" s="41">
        <v>0.86703296703296706</v>
      </c>
      <c r="L225" s="41">
        <v>0.86980470706059088</v>
      </c>
      <c r="M225" s="41">
        <v>0.87899235267656317</v>
      </c>
      <c r="N225" s="41">
        <v>0.85964912280701755</v>
      </c>
      <c r="O225" s="41">
        <v>0.90725995316159247</v>
      </c>
      <c r="P225" s="41">
        <v>0.89338049519959573</v>
      </c>
      <c r="Q225" s="41">
        <v>0.89948717948717949</v>
      </c>
      <c r="R225" s="41">
        <v>0.84530853761622993</v>
      </c>
      <c r="S225" s="41">
        <v>0.88743676222596968</v>
      </c>
      <c r="T225" s="89">
        <f t="shared" si="33"/>
        <v>2.7797857158992412</v>
      </c>
      <c r="U225" s="89">
        <f t="shared" si="34"/>
        <v>-1.9823190935622792</v>
      </c>
      <c r="V225" s="89">
        <f t="shared" si="35"/>
        <v>4.2128224609739746</v>
      </c>
      <c r="W225" s="148"/>
      <c r="X225" s="148"/>
      <c r="Y225" s="148"/>
    </row>
    <row r="226" spans="1:25" x14ac:dyDescent="0.25">
      <c r="A226" s="84" t="s">
        <v>337</v>
      </c>
      <c r="B226" s="41">
        <v>0.8783783783783784</v>
      </c>
      <c r="C226" s="41">
        <v>0.79381443298969068</v>
      </c>
      <c r="D226" s="41">
        <v>0.875</v>
      </c>
      <c r="E226" s="41">
        <v>0.84375</v>
      </c>
      <c r="F226" s="41">
        <v>0.806949806949807</v>
      </c>
      <c r="G226" s="41">
        <v>0.77385159010600701</v>
      </c>
      <c r="H226" s="41">
        <v>0.79746835443037978</v>
      </c>
      <c r="I226" s="41">
        <v>0.84797297297297303</v>
      </c>
      <c r="J226" s="41">
        <v>0.84158415841584155</v>
      </c>
      <c r="K226" s="41">
        <v>0.78378378378378377</v>
      </c>
      <c r="L226" s="41">
        <v>0.83762886597938147</v>
      </c>
      <c r="M226" s="41">
        <v>0.81280788177339902</v>
      </c>
      <c r="N226" s="41">
        <v>0.88009592326139086</v>
      </c>
      <c r="O226" s="41">
        <v>0.82731958762886593</v>
      </c>
      <c r="P226" s="41">
        <v>0.86803519061583578</v>
      </c>
      <c r="Q226" s="41">
        <v>0.83289124668435011</v>
      </c>
      <c r="R226" s="41">
        <v>0.81296758104738154</v>
      </c>
      <c r="S226" s="41">
        <v>0.86521739130434783</v>
      </c>
      <c r="T226" s="89">
        <f t="shared" si="33"/>
        <v>2.3633232888506273</v>
      </c>
      <c r="U226" s="89">
        <f t="shared" si="34"/>
        <v>3.78978036754819</v>
      </c>
      <c r="V226" s="89">
        <f t="shared" si="35"/>
        <v>5.2249810256966285</v>
      </c>
      <c r="W226" s="148"/>
      <c r="X226" s="148"/>
      <c r="Y226" s="148"/>
    </row>
    <row r="227" spans="1:25" x14ac:dyDescent="0.25">
      <c r="A227" s="81" t="s">
        <v>52</v>
      </c>
      <c r="B227" s="40">
        <v>0.85154975530179444</v>
      </c>
      <c r="C227" s="40">
        <v>0.86855241264559069</v>
      </c>
      <c r="D227" s="40">
        <v>0.86912751677852351</v>
      </c>
      <c r="E227" s="40">
        <v>0.88538011695906438</v>
      </c>
      <c r="F227" s="40">
        <v>0.81243830207305034</v>
      </c>
      <c r="G227" s="40">
        <v>0.84527972027972031</v>
      </c>
      <c r="H227" s="40">
        <v>0.87567567567567572</v>
      </c>
      <c r="I227" s="40">
        <v>0.88530219780219777</v>
      </c>
      <c r="J227" s="40">
        <v>0.89736664415935175</v>
      </c>
      <c r="K227" s="40">
        <v>0.91264667535853972</v>
      </c>
      <c r="L227" s="40">
        <v>0.86488027366020526</v>
      </c>
      <c r="M227" s="40">
        <v>0.91349999999999998</v>
      </c>
      <c r="N227" s="40">
        <v>0.90969899665551834</v>
      </c>
      <c r="O227" s="40">
        <v>0.93171402383134738</v>
      </c>
      <c r="P227" s="40">
        <v>0.93297587131367288</v>
      </c>
      <c r="Q227" s="40">
        <v>0.9045433685176687</v>
      </c>
      <c r="R227" s="40">
        <v>0.9059613769941226</v>
      </c>
      <c r="S227" s="40">
        <v>0.91426344505066248</v>
      </c>
      <c r="T227" s="90">
        <f t="shared" si="33"/>
        <v>1.6896800891310737</v>
      </c>
      <c r="U227" s="90">
        <f t="shared" si="34"/>
        <v>-1.74505787806849</v>
      </c>
      <c r="V227" s="90">
        <f t="shared" si="35"/>
        <v>0.83020680565398797</v>
      </c>
      <c r="W227" s="148"/>
      <c r="X227" s="148"/>
      <c r="Y227" s="148"/>
    </row>
    <row r="228" spans="1:25" x14ac:dyDescent="0.25">
      <c r="A228" s="84" t="s">
        <v>336</v>
      </c>
      <c r="B228" s="41">
        <v>0.84456928838951306</v>
      </c>
      <c r="C228" s="41">
        <v>0.88614800759013279</v>
      </c>
      <c r="D228" s="41">
        <v>0.87234042553191493</v>
      </c>
      <c r="E228" s="41">
        <v>0.8798955613577023</v>
      </c>
      <c r="F228" s="41">
        <v>0.81457663451232587</v>
      </c>
      <c r="G228" s="41">
        <v>0.84672897196261687</v>
      </c>
      <c r="H228" s="41">
        <v>0.87698986975397974</v>
      </c>
      <c r="I228" s="41">
        <v>0.88478260869565217</v>
      </c>
      <c r="J228" s="41">
        <v>0.89719626168224298</v>
      </c>
      <c r="K228" s="41">
        <v>0.91256072172102709</v>
      </c>
      <c r="L228" s="41">
        <v>0.8656987295825771</v>
      </c>
      <c r="M228" s="41">
        <v>0.9129287598944591</v>
      </c>
      <c r="N228" s="41">
        <v>0.91238670694864044</v>
      </c>
      <c r="O228" s="41">
        <v>0.9363636363636364</v>
      </c>
      <c r="P228" s="41">
        <v>0.93611111111111112</v>
      </c>
      <c r="Q228" s="41">
        <v>0.90651965484180252</v>
      </c>
      <c r="R228" s="41">
        <v>0.90708729472774419</v>
      </c>
      <c r="S228" s="41">
        <v>0.9159630076397266</v>
      </c>
      <c r="T228" s="89">
        <f t="shared" si="33"/>
        <v>1.8766745957483622</v>
      </c>
      <c r="U228" s="89">
        <f t="shared" si="34"/>
        <v>-2.0400628723909797</v>
      </c>
      <c r="V228" s="89">
        <f t="shared" si="35"/>
        <v>0.88757129119824141</v>
      </c>
      <c r="W228" s="148"/>
      <c r="X228" s="148"/>
      <c r="Y228" s="148"/>
    </row>
    <row r="229" spans="1:25" x14ac:dyDescent="0.25">
      <c r="A229" s="84" t="s">
        <v>337</v>
      </c>
      <c r="B229" s="41">
        <v>0.89873417721518989</v>
      </c>
      <c r="C229" s="41">
        <v>0.7432432432432432</v>
      </c>
      <c r="D229" s="41">
        <v>0.84810126582278478</v>
      </c>
      <c r="E229" s="41">
        <v>0.93258426966292129</v>
      </c>
      <c r="F229" s="41">
        <v>0.78749999999999998</v>
      </c>
      <c r="G229" s="41">
        <v>0.82432432432432434</v>
      </c>
      <c r="H229" s="41">
        <v>0.8571428571428571</v>
      </c>
      <c r="I229" s="41">
        <v>0.89473684210526316</v>
      </c>
      <c r="J229" s="41">
        <v>0.9</v>
      </c>
      <c r="K229" s="41">
        <v>0.91397849462365588</v>
      </c>
      <c r="L229" s="41">
        <v>0.85148514851485146</v>
      </c>
      <c r="M229" s="41">
        <v>0.92380952380952386</v>
      </c>
      <c r="N229" s="41">
        <v>0.85981308411214952</v>
      </c>
      <c r="O229" s="41">
        <v>0.82608695652173914</v>
      </c>
      <c r="P229" s="41">
        <v>0.84615384615384615</v>
      </c>
      <c r="Q229" s="41">
        <v>0.86021505376344087</v>
      </c>
      <c r="R229" s="41">
        <v>0.86764705882352944</v>
      </c>
      <c r="S229" s="41">
        <v>0.86075949367088611</v>
      </c>
      <c r="T229" s="89">
        <f t="shared" si="33"/>
        <v>-3.9240506329113911</v>
      </c>
      <c r="U229" s="89">
        <f t="shared" si="34"/>
        <v>3.4672537149146976</v>
      </c>
      <c r="V229" s="89">
        <f t="shared" si="35"/>
        <v>-0.68875651526433268</v>
      </c>
      <c r="W229" s="148"/>
      <c r="X229" s="148"/>
      <c r="Y229" s="148"/>
    </row>
    <row r="230" spans="1:25" x14ac:dyDescent="0.25">
      <c r="A230" s="81" t="s">
        <v>45</v>
      </c>
      <c r="B230" s="40">
        <v>0.85208663497094561</v>
      </c>
      <c r="C230" s="40">
        <v>0.85241974125539055</v>
      </c>
      <c r="D230" s="40">
        <v>0.87851275399913531</v>
      </c>
      <c r="E230" s="40">
        <v>0.88332660476382718</v>
      </c>
      <c r="F230" s="40">
        <v>0.85220729366602688</v>
      </c>
      <c r="G230" s="40">
        <v>0.84205057152753726</v>
      </c>
      <c r="H230" s="40">
        <v>0.82889889480147361</v>
      </c>
      <c r="I230" s="40">
        <v>0.81560283687943258</v>
      </c>
      <c r="J230" s="40">
        <v>0.82912793271359009</v>
      </c>
      <c r="K230" s="40">
        <v>0.84476843910806176</v>
      </c>
      <c r="L230" s="40">
        <v>0.85002186270223001</v>
      </c>
      <c r="M230" s="40">
        <v>0.86604514229636897</v>
      </c>
      <c r="N230" s="40">
        <v>0.84659913169319823</v>
      </c>
      <c r="O230" s="40">
        <v>0.90631067961165046</v>
      </c>
      <c r="P230" s="40">
        <v>0.87836583101207055</v>
      </c>
      <c r="Q230" s="40">
        <v>0.87857762359063318</v>
      </c>
      <c r="R230" s="40">
        <v>0.88160508541914984</v>
      </c>
      <c r="S230" s="40">
        <v>0.88507157464212682</v>
      </c>
      <c r="T230" s="90">
        <f t="shared" si="33"/>
        <v>5.5943641928536731</v>
      </c>
      <c r="U230" s="90">
        <f t="shared" si="34"/>
        <v>-2.1239104969523637</v>
      </c>
      <c r="V230" s="90">
        <f t="shared" si="35"/>
        <v>0.34664892229769873</v>
      </c>
      <c r="W230" s="148"/>
      <c r="X230" s="148"/>
      <c r="Y230" s="148"/>
    </row>
    <row r="231" spans="1:25" x14ac:dyDescent="0.25">
      <c r="A231" s="84" t="s">
        <v>336</v>
      </c>
      <c r="B231" s="41">
        <v>0.85794392523364482</v>
      </c>
      <c r="C231" s="41">
        <v>0.85433715220949269</v>
      </c>
      <c r="D231" s="41">
        <v>0.88411078717201164</v>
      </c>
      <c r="E231" s="41">
        <v>0.88344370860927157</v>
      </c>
      <c r="F231" s="41">
        <v>0.85723641126391614</v>
      </c>
      <c r="G231" s="41">
        <v>0.85481239804241438</v>
      </c>
      <c r="H231" s="41">
        <v>0.83311081441922563</v>
      </c>
      <c r="I231" s="41">
        <v>0.82077922077922083</v>
      </c>
      <c r="J231" s="41">
        <v>0.83912119064493262</v>
      </c>
      <c r="K231" s="41">
        <v>0.84753363228699552</v>
      </c>
      <c r="L231" s="41">
        <v>0.85553346587143808</v>
      </c>
      <c r="M231" s="41">
        <v>0.86450662739322537</v>
      </c>
      <c r="N231" s="41">
        <v>0.84917798427448177</v>
      </c>
      <c r="O231" s="41">
        <v>0.91044776119402981</v>
      </c>
      <c r="P231" s="41">
        <v>0.87920384351406999</v>
      </c>
      <c r="Q231" s="41">
        <v>0.88</v>
      </c>
      <c r="R231" s="41">
        <v>0.88509670079635949</v>
      </c>
      <c r="S231" s="41">
        <v>0.88920780711825487</v>
      </c>
      <c r="T231" s="89">
        <f t="shared" si="33"/>
        <v>5.0086616473322243</v>
      </c>
      <c r="U231" s="89">
        <f t="shared" si="34"/>
        <v>-2.1239954075774947</v>
      </c>
      <c r="V231" s="89">
        <f t="shared" si="35"/>
        <v>0.41111063218953747</v>
      </c>
      <c r="W231" s="148"/>
      <c r="X231" s="148"/>
      <c r="Y231" s="148"/>
    </row>
    <row r="232" spans="1:25" x14ac:dyDescent="0.25">
      <c r="A232" s="84" t="s">
        <v>337</v>
      </c>
      <c r="B232" s="41">
        <v>0.84447144592952617</v>
      </c>
      <c r="C232" s="41">
        <v>0.8497109826589595</v>
      </c>
      <c r="D232" s="41">
        <v>0.87035069075451643</v>
      </c>
      <c r="E232" s="41">
        <v>0.88314374353671143</v>
      </c>
      <c r="F232" s="41">
        <v>0.84508348794063082</v>
      </c>
      <c r="G232" s="41">
        <v>0.81965648854961837</v>
      </c>
      <c r="H232" s="41">
        <v>0.82222222222222219</v>
      </c>
      <c r="I232" s="41">
        <v>0.80630105017502918</v>
      </c>
      <c r="J232" s="41">
        <v>0.8125</v>
      </c>
      <c r="K232" s="41">
        <v>0.83916990920881973</v>
      </c>
      <c r="L232" s="41">
        <v>0.83933161953727509</v>
      </c>
      <c r="M232" s="41">
        <v>0.86911764705882355</v>
      </c>
      <c r="N232" s="41">
        <v>0.84124629080118696</v>
      </c>
      <c r="O232" s="41">
        <v>0.89739663093415012</v>
      </c>
      <c r="P232" s="41">
        <v>0.87661406025824962</v>
      </c>
      <c r="Q232" s="41">
        <v>0.87535410764872523</v>
      </c>
      <c r="R232" s="41">
        <v>0.87351778656126478</v>
      </c>
      <c r="S232" s="41">
        <v>0.87482219061166433</v>
      </c>
      <c r="T232" s="89">
        <f t="shared" si="33"/>
        <v>6.2322190611664325</v>
      </c>
      <c r="U232" s="89">
        <f t="shared" si="34"/>
        <v>-2.2574440322485789</v>
      </c>
      <c r="V232" s="89">
        <f t="shared" si="35"/>
        <v>0.13044040503995546</v>
      </c>
      <c r="W232" s="148"/>
      <c r="X232" s="148"/>
      <c r="Y232" s="148"/>
    </row>
    <row r="233" spans="1:25" x14ac:dyDescent="0.25">
      <c r="A233" s="81" t="s">
        <v>30</v>
      </c>
      <c r="B233" s="40">
        <v>0.80930992241731314</v>
      </c>
      <c r="C233" s="40">
        <v>0.78714285714285714</v>
      </c>
      <c r="D233" s="40">
        <v>0.78603006189213087</v>
      </c>
      <c r="E233" s="40">
        <v>0.79737402413058911</v>
      </c>
      <c r="F233" s="40">
        <v>0.76392382321236074</v>
      </c>
      <c r="G233" s="40">
        <v>0.77103342297349209</v>
      </c>
      <c r="H233" s="40">
        <v>0.76259273721202658</v>
      </c>
      <c r="I233" s="40">
        <v>0.80800000000000005</v>
      </c>
      <c r="J233" s="40">
        <v>0.80327868852459017</v>
      </c>
      <c r="K233" s="40">
        <v>0.80601357904946658</v>
      </c>
      <c r="L233" s="40">
        <v>0.80681442275884885</v>
      </c>
      <c r="M233" s="40">
        <v>0.79456297315898139</v>
      </c>
      <c r="N233" s="40">
        <v>0.82086761406133135</v>
      </c>
      <c r="O233" s="40">
        <v>0.84753167321974665</v>
      </c>
      <c r="P233" s="40">
        <v>0.8302172814552804</v>
      </c>
      <c r="Q233" s="40">
        <v>0.81028086910439856</v>
      </c>
      <c r="R233" s="40">
        <v>0.83853516437786102</v>
      </c>
      <c r="S233" s="40">
        <v>0.83100902378999175</v>
      </c>
      <c r="T233" s="90">
        <f t="shared" si="33"/>
        <v>2.7730335265401584</v>
      </c>
      <c r="U233" s="90">
        <f t="shared" si="34"/>
        <v>-1.6522649429754899</v>
      </c>
      <c r="V233" s="90">
        <f t="shared" si="35"/>
        <v>-0.75261405878692678</v>
      </c>
      <c r="W233" s="148"/>
      <c r="X233" s="148"/>
      <c r="Y233" s="148"/>
    </row>
    <row r="234" spans="1:25" x14ac:dyDescent="0.25">
      <c r="A234" s="84" t="s">
        <v>336</v>
      </c>
      <c r="B234" s="41">
        <v>0.84417549167927386</v>
      </c>
      <c r="C234" s="41">
        <v>0.80738786279683372</v>
      </c>
      <c r="D234" s="41">
        <v>0.82303132938187973</v>
      </c>
      <c r="E234" s="41">
        <v>0.81910569105691056</v>
      </c>
      <c r="F234" s="41">
        <v>0.79579375848032563</v>
      </c>
      <c r="G234" s="41">
        <v>0.78395496129486275</v>
      </c>
      <c r="H234" s="41">
        <v>0.79730687455705174</v>
      </c>
      <c r="I234" s="41">
        <v>0.82640000000000002</v>
      </c>
      <c r="J234" s="41">
        <v>0.81858083394294079</v>
      </c>
      <c r="K234" s="41">
        <v>0.82492753623188408</v>
      </c>
      <c r="L234" s="41">
        <v>0.80540858318636099</v>
      </c>
      <c r="M234" s="41">
        <v>0.80653266331658291</v>
      </c>
      <c r="N234" s="41">
        <v>0.84305555555555556</v>
      </c>
      <c r="O234" s="41">
        <v>0.88300395256916997</v>
      </c>
      <c r="P234" s="41">
        <v>0.84372093023255812</v>
      </c>
      <c r="Q234" s="41">
        <v>0.79705882352941182</v>
      </c>
      <c r="R234" s="41">
        <v>0.84284532671629442</v>
      </c>
      <c r="S234" s="41">
        <v>0.83294117647058818</v>
      </c>
      <c r="T234" s="89">
        <f t="shared" si="33"/>
        <v>1.4360342527647396</v>
      </c>
      <c r="U234" s="89">
        <f t="shared" si="34"/>
        <v>-5.0062776098581789</v>
      </c>
      <c r="V234" s="89">
        <f t="shared" si="35"/>
        <v>-0.99041502457062336</v>
      </c>
      <c r="W234" s="148"/>
      <c r="X234" s="148"/>
      <c r="Y234" s="148"/>
    </row>
    <row r="235" spans="1:25" x14ac:dyDescent="0.25">
      <c r="A235" s="84" t="s">
        <v>337</v>
      </c>
      <c r="B235" s="41">
        <v>0.76841171251109142</v>
      </c>
      <c r="C235" s="41">
        <v>0.76323987538940807</v>
      </c>
      <c r="D235" s="41">
        <v>0.74560592044403329</v>
      </c>
      <c r="E235" s="41">
        <v>0.77347242921013415</v>
      </c>
      <c r="F235" s="41">
        <v>0.72803666921313981</v>
      </c>
      <c r="G235" s="41">
        <v>0.75549915397631129</v>
      </c>
      <c r="H235" s="41">
        <v>0.72</v>
      </c>
      <c r="I235" s="41">
        <v>0.78755555555555556</v>
      </c>
      <c r="J235" s="41">
        <v>0.7857740585774059</v>
      </c>
      <c r="K235" s="41">
        <v>0.78216374269005851</v>
      </c>
      <c r="L235" s="41">
        <v>0.80862329803328292</v>
      </c>
      <c r="M235" s="41">
        <v>0.78006088280060881</v>
      </c>
      <c r="N235" s="41">
        <v>0.79497568881685576</v>
      </c>
      <c r="O235" s="41">
        <v>0.8037109375</v>
      </c>
      <c r="P235" s="41">
        <v>0.81415929203539827</v>
      </c>
      <c r="Q235" s="41">
        <v>0.82583621683967701</v>
      </c>
      <c r="R235" s="41">
        <v>0.83417085427135673</v>
      </c>
      <c r="S235" s="41">
        <v>0.82889079965606194</v>
      </c>
      <c r="T235" s="89">
        <f t="shared" si="33"/>
        <v>4.3116741078656045</v>
      </c>
      <c r="U235" s="89">
        <f t="shared" si="34"/>
        <v>2.5179862156061938</v>
      </c>
      <c r="V235" s="89">
        <f t="shared" si="35"/>
        <v>-0.52800546152947936</v>
      </c>
      <c r="W235" s="148"/>
      <c r="X235" s="148"/>
      <c r="Y235" s="148"/>
    </row>
    <row r="236" spans="1:25" x14ac:dyDescent="0.25">
      <c r="A236" s="81" t="s">
        <v>56</v>
      </c>
      <c r="B236" s="40">
        <v>0.86588921282798836</v>
      </c>
      <c r="C236" s="40">
        <v>0.85931034482758617</v>
      </c>
      <c r="D236" s="40">
        <v>0.86357435197817189</v>
      </c>
      <c r="E236" s="40">
        <v>0.88741721854304634</v>
      </c>
      <c r="F236" s="40">
        <v>0.83701657458563539</v>
      </c>
      <c r="G236" s="40">
        <v>0.83401360544217684</v>
      </c>
      <c r="H236" s="40">
        <v>0.8017676767676768</v>
      </c>
      <c r="I236" s="40">
        <v>0.79700115340253752</v>
      </c>
      <c r="J236" s="40">
        <v>0.83673469387755106</v>
      </c>
      <c r="K236" s="40">
        <v>0.8475991649269311</v>
      </c>
      <c r="L236" s="40">
        <v>0.88116817724068475</v>
      </c>
      <c r="M236" s="40">
        <v>0.86312640239341809</v>
      </c>
      <c r="N236" s="40">
        <v>0.89590110605074824</v>
      </c>
      <c r="O236" s="40">
        <v>0.91604010025062654</v>
      </c>
      <c r="P236" s="40">
        <v>0.88723667905824044</v>
      </c>
      <c r="Q236" s="40">
        <v>0.87776332899869958</v>
      </c>
      <c r="R236" s="40">
        <v>0.88463426607756501</v>
      </c>
      <c r="S236" s="40">
        <v>0.90995065789473684</v>
      </c>
      <c r="T236" s="90">
        <f t="shared" si="33"/>
        <v>7.321596401718578</v>
      </c>
      <c r="U236" s="90">
        <f t="shared" si="34"/>
        <v>-0.60894423558897071</v>
      </c>
      <c r="V236" s="90">
        <f t="shared" si="35"/>
        <v>2.5316391817171824</v>
      </c>
      <c r="W236" s="148"/>
      <c r="X236" s="148"/>
      <c r="Y236" s="148"/>
    </row>
    <row r="237" spans="1:25" x14ac:dyDescent="0.25">
      <c r="A237" s="84" t="s">
        <v>336</v>
      </c>
      <c r="B237" s="41">
        <v>0.84079601990049746</v>
      </c>
      <c r="C237" s="41">
        <v>0.85944700460829493</v>
      </c>
      <c r="D237" s="41">
        <v>0.87735849056603776</v>
      </c>
      <c r="E237" s="41">
        <v>0.86976744186046506</v>
      </c>
      <c r="F237" s="41">
        <v>0.84461152882205515</v>
      </c>
      <c r="G237" s="41">
        <v>0.82476635514018692</v>
      </c>
      <c r="H237" s="41">
        <v>0.78649237472766886</v>
      </c>
      <c r="I237" s="41">
        <v>0.7941747572815534</v>
      </c>
      <c r="J237" s="41">
        <v>0.85</v>
      </c>
      <c r="K237" s="41">
        <v>0.84688090737240074</v>
      </c>
      <c r="L237" s="41">
        <v>0.88173913043478258</v>
      </c>
      <c r="M237" s="41">
        <v>0.86543209876543215</v>
      </c>
      <c r="N237" s="41">
        <v>0.89366515837104077</v>
      </c>
      <c r="O237" s="41">
        <v>0.9252437703141928</v>
      </c>
      <c r="P237" s="41">
        <v>0.89825282631038028</v>
      </c>
      <c r="Q237" s="41">
        <v>0.87294633077765604</v>
      </c>
      <c r="R237" s="41">
        <v>0.88083735909822869</v>
      </c>
      <c r="S237" s="41">
        <v>0.90750670241286868</v>
      </c>
      <c r="T237" s="89">
        <f t="shared" si="33"/>
        <v>5.7506702412868709</v>
      </c>
      <c r="U237" s="89">
        <f t="shared" si="34"/>
        <v>-1.7737067901324122</v>
      </c>
      <c r="V237" s="89">
        <f t="shared" si="35"/>
        <v>2.6669343314639993</v>
      </c>
      <c r="W237" s="148"/>
      <c r="X237" s="148"/>
      <c r="Y237" s="148"/>
    </row>
    <row r="238" spans="1:25" x14ac:dyDescent="0.25">
      <c r="A238" s="84" t="s">
        <v>337</v>
      </c>
      <c r="B238" s="41">
        <v>0.90140845070422537</v>
      </c>
      <c r="C238" s="41">
        <v>0.85910652920962194</v>
      </c>
      <c r="D238" s="41">
        <v>0.84466019417475724</v>
      </c>
      <c r="E238" s="41">
        <v>0.91076923076923078</v>
      </c>
      <c r="F238" s="41">
        <v>0.82769230769230773</v>
      </c>
      <c r="G238" s="41">
        <v>0.84690553745928343</v>
      </c>
      <c r="H238" s="41">
        <v>0.82282282282282282</v>
      </c>
      <c r="I238" s="41">
        <v>0.80113636363636365</v>
      </c>
      <c r="J238" s="41">
        <v>0.81937172774869105</v>
      </c>
      <c r="K238" s="41">
        <v>0.84848484848484851</v>
      </c>
      <c r="L238" s="41">
        <v>0.88038277511961727</v>
      </c>
      <c r="M238" s="41">
        <v>0.85958254269449719</v>
      </c>
      <c r="N238" s="41">
        <v>0.89892802450229714</v>
      </c>
      <c r="O238" s="41">
        <v>0.90341753343239228</v>
      </c>
      <c r="P238" s="41">
        <v>0.8705148205928237</v>
      </c>
      <c r="Q238" s="41">
        <v>0.88480000000000003</v>
      </c>
      <c r="R238" s="41">
        <v>0.89056603773584908</v>
      </c>
      <c r="S238" s="41">
        <v>0.91382978723404251</v>
      </c>
      <c r="T238" s="89">
        <f t="shared" si="33"/>
        <v>9.4458059485351455</v>
      </c>
      <c r="U238" s="89">
        <f t="shared" si="34"/>
        <v>1.0412253801650229</v>
      </c>
      <c r="V238" s="89">
        <f t="shared" si="35"/>
        <v>2.3263749498193431</v>
      </c>
      <c r="W238" s="148"/>
      <c r="X238" s="148"/>
      <c r="Y238" s="148"/>
    </row>
    <row r="239" spans="1:25" x14ac:dyDescent="0.25">
      <c r="A239" s="81" t="s">
        <v>29</v>
      </c>
      <c r="B239" s="40">
        <v>0.73455149501661132</v>
      </c>
      <c r="C239" s="40">
        <v>0.78759747493501675</v>
      </c>
      <c r="D239" s="40">
        <v>0.77587301587301583</v>
      </c>
      <c r="E239" s="40">
        <v>0.79099969797644221</v>
      </c>
      <c r="F239" s="40">
        <v>0.74090505767524406</v>
      </c>
      <c r="G239" s="40">
        <v>0.75592340149302173</v>
      </c>
      <c r="H239" s="40">
        <v>0.73775727466288143</v>
      </c>
      <c r="I239" s="40">
        <v>0.7590266875981162</v>
      </c>
      <c r="J239" s="40">
        <v>0.7338680277068903</v>
      </c>
      <c r="K239" s="40">
        <v>0.7885447885447886</v>
      </c>
      <c r="L239" s="40">
        <v>0.78992848629320622</v>
      </c>
      <c r="M239" s="40">
        <v>0.77446262431825474</v>
      </c>
      <c r="N239" s="40">
        <v>0.77138157894736847</v>
      </c>
      <c r="O239" s="40">
        <v>0.86113236419280792</v>
      </c>
      <c r="P239" s="40">
        <v>0.84005037783375314</v>
      </c>
      <c r="Q239" s="40">
        <v>0.82893450635386123</v>
      </c>
      <c r="R239" s="40">
        <v>0.82282944028206262</v>
      </c>
      <c r="S239" s="40">
        <v>0.82442748091603058</v>
      </c>
      <c r="T239" s="90">
        <f t="shared" si="33"/>
        <v>9.0559453209140273</v>
      </c>
      <c r="U239" s="90">
        <f t="shared" si="34"/>
        <v>-3.6704883276777345</v>
      </c>
      <c r="V239" s="90">
        <f t="shared" si="35"/>
        <v>0.15980406339679565</v>
      </c>
      <c r="W239" s="148"/>
      <c r="X239" s="148"/>
      <c r="Y239" s="148"/>
    </row>
    <row r="240" spans="1:25" x14ac:dyDescent="0.25">
      <c r="A240" s="84" t="s">
        <v>336</v>
      </c>
      <c r="B240" s="41">
        <v>0.74247355573637108</v>
      </c>
      <c r="C240" s="41">
        <v>0.79254829806807725</v>
      </c>
      <c r="D240" s="41">
        <v>0.78676763650856918</v>
      </c>
      <c r="E240" s="41">
        <v>0.80052990158970472</v>
      </c>
      <c r="F240" s="41">
        <v>0.75693923480870218</v>
      </c>
      <c r="G240" s="41">
        <v>0.76696647587898614</v>
      </c>
      <c r="H240" s="41">
        <v>0.7529843893480257</v>
      </c>
      <c r="I240" s="41">
        <v>0.77176713034518285</v>
      </c>
      <c r="J240" s="41">
        <v>0.73476035365286174</v>
      </c>
      <c r="K240" s="41">
        <v>0.80212314225053083</v>
      </c>
      <c r="L240" s="41">
        <v>0.80198397558183898</v>
      </c>
      <c r="M240" s="41">
        <v>0.79298969072164949</v>
      </c>
      <c r="N240" s="41">
        <v>0.7744610281923715</v>
      </c>
      <c r="O240" s="41">
        <v>0.87542087542087543</v>
      </c>
      <c r="P240" s="41">
        <v>0.84984025559105436</v>
      </c>
      <c r="Q240" s="41">
        <v>0.82949595519601738</v>
      </c>
      <c r="R240" s="41">
        <v>0.83002832861189801</v>
      </c>
      <c r="S240" s="41">
        <v>0.8288177339901478</v>
      </c>
      <c r="T240" s="89">
        <f t="shared" si="33"/>
        <v>9.4057380337286052</v>
      </c>
      <c r="U240" s="89">
        <f t="shared" si="34"/>
        <v>-4.6603141430727639</v>
      </c>
      <c r="V240" s="89">
        <f t="shared" si="35"/>
        <v>-0.12105946217502161</v>
      </c>
      <c r="W240" s="148"/>
      <c r="X240" s="148"/>
      <c r="Y240" s="148"/>
    </row>
    <row r="241" spans="1:25" x14ac:dyDescent="0.25">
      <c r="A241" s="84" t="s">
        <v>337</v>
      </c>
      <c r="B241" s="41">
        <v>0.69927536231884058</v>
      </c>
      <c r="C241" s="41">
        <v>0.76685934489402696</v>
      </c>
      <c r="D241" s="41">
        <v>0.73322932917316697</v>
      </c>
      <c r="E241" s="41">
        <v>0.75336322869955152</v>
      </c>
      <c r="F241" s="41">
        <v>0.68111888111888108</v>
      </c>
      <c r="G241" s="41">
        <v>0.71338582677165352</v>
      </c>
      <c r="H241" s="41">
        <v>0.68593749999999998</v>
      </c>
      <c r="I241" s="41">
        <v>0.71828665568369032</v>
      </c>
      <c r="J241" s="41">
        <v>0.73063973063973064</v>
      </c>
      <c r="K241" s="41">
        <v>0.73919753086419748</v>
      </c>
      <c r="L241" s="41">
        <v>0.74693877551020404</v>
      </c>
      <c r="M241" s="41">
        <v>0.70953757225433522</v>
      </c>
      <c r="N241" s="41">
        <v>0.75955414012738853</v>
      </c>
      <c r="O241" s="41">
        <v>0.80560747663551402</v>
      </c>
      <c r="P241" s="41">
        <v>0.8035714285714286</v>
      </c>
      <c r="Q241" s="41">
        <v>0.82687927107061499</v>
      </c>
      <c r="R241" s="41">
        <v>0.79761904761904767</v>
      </c>
      <c r="S241" s="41">
        <v>0.80932203389830504</v>
      </c>
      <c r="T241" s="89">
        <f t="shared" si="33"/>
        <v>7.8682303258574393</v>
      </c>
      <c r="U241" s="89">
        <f t="shared" si="34"/>
        <v>0.37145572627910184</v>
      </c>
      <c r="V241" s="89">
        <f t="shared" si="35"/>
        <v>1.1702986279257366</v>
      </c>
      <c r="W241" s="148"/>
      <c r="X241" s="148"/>
      <c r="Y241" s="148"/>
    </row>
    <row r="242" spans="1:25" x14ac:dyDescent="0.25">
      <c r="A242" s="81" t="s">
        <v>35</v>
      </c>
      <c r="B242" s="40">
        <v>0.80056519983851437</v>
      </c>
      <c r="C242" s="40">
        <v>0.77451444812884884</v>
      </c>
      <c r="D242" s="40">
        <v>0.80430622009569375</v>
      </c>
      <c r="E242" s="40">
        <v>0.81650671785028794</v>
      </c>
      <c r="F242" s="40">
        <v>0.79576194770063124</v>
      </c>
      <c r="G242" s="40">
        <v>0.65102230483271373</v>
      </c>
      <c r="H242" s="40">
        <v>0.77539813289401427</v>
      </c>
      <c r="I242" s="40">
        <v>0.80026281208935612</v>
      </c>
      <c r="J242" s="40">
        <v>0.774866569626395</v>
      </c>
      <c r="K242" s="40">
        <v>0.80607016160819867</v>
      </c>
      <c r="L242" s="40">
        <v>0.85682940208447611</v>
      </c>
      <c r="M242" s="40">
        <v>0.84237578526556256</v>
      </c>
      <c r="N242" s="40">
        <v>0.86080821039127642</v>
      </c>
      <c r="O242" s="40">
        <v>0.91518467852257179</v>
      </c>
      <c r="P242" s="40">
        <v>0.89937597503900157</v>
      </c>
      <c r="Q242" s="40">
        <v>0.88312757201646086</v>
      </c>
      <c r="R242" s="40">
        <v>0.88697104677060135</v>
      </c>
      <c r="S242" s="40">
        <v>0.87272727272727268</v>
      </c>
      <c r="T242" s="90">
        <f t="shared" si="33"/>
        <v>9.7860703100877693</v>
      </c>
      <c r="U242" s="90">
        <f t="shared" si="34"/>
        <v>-4.2457405795299108</v>
      </c>
      <c r="V242" s="90">
        <f t="shared" si="35"/>
        <v>-1.4243774043328661</v>
      </c>
      <c r="W242" s="148"/>
      <c r="X242" s="148"/>
      <c r="Y242" s="148"/>
    </row>
    <row r="243" spans="1:25" x14ac:dyDescent="0.25">
      <c r="A243" s="84" t="s">
        <v>336</v>
      </c>
      <c r="B243" s="41">
        <v>0.80162271805273833</v>
      </c>
      <c r="C243" s="41">
        <v>0.77430061640587955</v>
      </c>
      <c r="D243" s="41">
        <v>0.80461982675649668</v>
      </c>
      <c r="E243" s="41">
        <v>0.81653846153846155</v>
      </c>
      <c r="F243" s="41">
        <v>0.79692446856625965</v>
      </c>
      <c r="G243" s="41">
        <v>0.65162790697674422</v>
      </c>
      <c r="H243" s="41">
        <v>0.77667766776677671</v>
      </c>
      <c r="I243" s="41">
        <v>0.8001314924391848</v>
      </c>
      <c r="J243" s="41">
        <v>0.77502429543245865</v>
      </c>
      <c r="K243" s="41">
        <v>0.80711462450592886</v>
      </c>
      <c r="L243" s="41">
        <v>0.8574573472757292</v>
      </c>
      <c r="M243" s="41">
        <v>0.84249713631156931</v>
      </c>
      <c r="N243" s="41">
        <v>0.86237942122186495</v>
      </c>
      <c r="O243" s="41">
        <v>0.91638108293351606</v>
      </c>
      <c r="P243" s="41">
        <v>0.90047021943573669</v>
      </c>
      <c r="Q243" s="41">
        <v>0.88445552784704906</v>
      </c>
      <c r="R243" s="41">
        <v>0.88665549972082636</v>
      </c>
      <c r="S243" s="41">
        <v>0.87271830291070551</v>
      </c>
      <c r="T243" s="89">
        <f t="shared" si="33"/>
        <v>9.7694007478246867</v>
      </c>
      <c r="U243" s="89">
        <f t="shared" si="34"/>
        <v>-4.3662780022810548</v>
      </c>
      <c r="V243" s="89">
        <f t="shared" si="35"/>
        <v>-1.3937196810120844</v>
      </c>
      <c r="W243" s="148"/>
      <c r="X243" s="148"/>
      <c r="Y243" s="148"/>
    </row>
    <row r="244" spans="1:25" x14ac:dyDescent="0.25">
      <c r="A244" s="84" t="s">
        <v>337</v>
      </c>
      <c r="B244" s="41">
        <v>0.58333333333333337</v>
      </c>
      <c r="C244" s="41" t="s">
        <v>62</v>
      </c>
      <c r="D244" s="41">
        <v>0.75</v>
      </c>
      <c r="E244" s="41" t="s">
        <v>62</v>
      </c>
      <c r="F244" s="41" t="s">
        <v>62</v>
      </c>
      <c r="G244" s="41" t="s">
        <v>62</v>
      </c>
      <c r="H244" s="41" t="s">
        <v>62</v>
      </c>
      <c r="I244" s="41" t="s">
        <v>62</v>
      </c>
      <c r="J244" s="41" t="s">
        <v>62</v>
      </c>
      <c r="K244" s="41" t="s">
        <v>62</v>
      </c>
      <c r="L244" s="41" t="s">
        <v>62</v>
      </c>
      <c r="M244" s="41" t="s">
        <v>62</v>
      </c>
      <c r="N244" s="41" t="s">
        <v>62</v>
      </c>
      <c r="O244" s="41" t="s">
        <v>62</v>
      </c>
      <c r="P244" s="41" t="s">
        <v>62</v>
      </c>
      <c r="Q244" s="41">
        <v>0.75</v>
      </c>
      <c r="R244" s="41" t="s">
        <v>62</v>
      </c>
      <c r="S244" s="41" t="s">
        <v>62</v>
      </c>
      <c r="T244" s="41" t="s">
        <v>62</v>
      </c>
      <c r="U244" s="41" t="s">
        <v>62</v>
      </c>
      <c r="V244" s="41" t="s">
        <v>62</v>
      </c>
      <c r="W244" s="148"/>
      <c r="X244" s="148"/>
      <c r="Y244" s="148"/>
    </row>
    <row r="247" spans="1:25" x14ac:dyDescent="0.25">
      <c r="A247" s="82" t="s">
        <v>252</v>
      </c>
      <c r="B247" s="34"/>
      <c r="C247" s="34"/>
      <c r="D247" s="34"/>
      <c r="E247" s="34"/>
      <c r="F247" s="34"/>
      <c r="G247" s="34"/>
    </row>
    <row r="248" spans="1:25" x14ac:dyDescent="0.25">
      <c r="A248" s="5"/>
      <c r="B248" s="5"/>
      <c r="C248" s="5"/>
      <c r="D248" s="5"/>
      <c r="E248" s="5"/>
      <c r="F248" s="5"/>
      <c r="G248" s="5"/>
    </row>
    <row r="249" spans="1:25" x14ac:dyDescent="0.25">
      <c r="A249" s="29" t="s">
        <v>72</v>
      </c>
      <c r="B249" s="29"/>
      <c r="C249" s="29"/>
      <c r="D249" s="29"/>
      <c r="E249" s="29"/>
      <c r="F249" s="29"/>
      <c r="G249" s="29"/>
    </row>
  </sheetData>
  <conditionalFormatting sqref="Y103:Y11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{6EF20F6D-1FB0-4ADF-B1F1-C19AAEB9C113}</x14:id>
        </ext>
      </extLst>
    </cfRule>
  </conditionalFormatting>
  <hyperlinks>
    <hyperlink ref="A249" location="Indice!A1" display="Volver al índice" xr:uid="{00000000-0004-0000-0400-000000000000}"/>
  </hyperlinks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F20F6D-1FB0-4ADF-B1F1-C19AAEB9C1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Y103:Y112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7558519241921"/>
  </sheetPr>
  <dimension ref="A1:W104"/>
  <sheetViews>
    <sheetView showGridLines="0" zoomScale="80" zoomScaleNormal="80" workbookViewId="0">
      <pane ySplit="4" topLeftCell="A5" activePane="bottomLeft" state="frozen"/>
      <selection activeCell="C14" sqref="C14"/>
      <selection pane="bottomLeft" activeCell="A5" sqref="A5"/>
    </sheetView>
  </sheetViews>
  <sheetFormatPr baseColWidth="10" defaultRowHeight="15" x14ac:dyDescent="0.25"/>
  <cols>
    <col min="1" max="1" width="37.28515625" style="24" customWidth="1"/>
    <col min="2" max="19" width="9.7109375" style="24" customWidth="1"/>
    <col min="20" max="20" width="13.85546875" style="24" bestFit="1" customWidth="1"/>
    <col min="21" max="22" width="13.85546875" style="24" customWidth="1"/>
    <col min="23" max="16384" width="11.42578125" style="24"/>
  </cols>
  <sheetData>
    <row r="1" spans="1:22" ht="21" x14ac:dyDescent="0.25">
      <c r="A1" s="33" t="s">
        <v>109</v>
      </c>
      <c r="B1" s="33"/>
      <c r="C1" s="33"/>
      <c r="D1" s="33"/>
      <c r="E1" s="33"/>
      <c r="F1" s="33"/>
      <c r="G1" s="33"/>
      <c r="H1" s="7"/>
      <c r="I1" s="7"/>
      <c r="J1" s="7"/>
      <c r="K1" s="7"/>
      <c r="L1" s="7"/>
    </row>
    <row r="2" spans="1:22" x14ac:dyDescent="0.25">
      <c r="A2" s="53"/>
      <c r="B2" s="53"/>
      <c r="C2"/>
      <c r="D2"/>
      <c r="E2"/>
      <c r="F2"/>
      <c r="G2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ht="15" customHeight="1" x14ac:dyDescent="0.25">
      <c r="A3" s="54" t="s">
        <v>111</v>
      </c>
      <c r="B3" s="53"/>
      <c r="C3"/>
      <c r="D3"/>
      <c r="E3"/>
      <c r="F3"/>
      <c r="G3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x14ac:dyDescent="0.25">
      <c r="A4"/>
      <c r="B4"/>
      <c r="C4"/>
      <c r="D4"/>
      <c r="E4"/>
      <c r="F4"/>
      <c r="G4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ht="18" x14ac:dyDescent="0.25">
      <c r="A5" s="25" t="s">
        <v>273</v>
      </c>
      <c r="B5" s="25"/>
      <c r="C5" s="25"/>
      <c r="D5" s="25"/>
      <c r="E5" s="25"/>
      <c r="F5" s="25"/>
      <c r="G5" s="2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2"/>
    </row>
    <row r="6" spans="1:22" ht="45" customHeight="1" x14ac:dyDescent="0.25">
      <c r="A6" s="14" t="s">
        <v>79</v>
      </c>
      <c r="B6" s="38">
        <v>2007</v>
      </c>
      <c r="C6" s="38">
        <v>2008</v>
      </c>
      <c r="D6" s="38">
        <v>2009</v>
      </c>
      <c r="E6" s="38">
        <v>2010</v>
      </c>
      <c r="F6" s="38">
        <v>2011</v>
      </c>
      <c r="G6" s="38">
        <v>2012</v>
      </c>
      <c r="H6" s="38">
        <v>2013</v>
      </c>
      <c r="I6" s="38">
        <v>2014</v>
      </c>
      <c r="J6" s="38">
        <v>2015</v>
      </c>
      <c r="K6" s="38">
        <v>2016</v>
      </c>
      <c r="L6" s="38">
        <v>2017</v>
      </c>
      <c r="M6" s="38">
        <v>2018</v>
      </c>
      <c r="N6" s="38">
        <v>2019</v>
      </c>
      <c r="O6" s="38">
        <v>2020</v>
      </c>
      <c r="P6" s="38">
        <v>2021</v>
      </c>
      <c r="Q6" s="38">
        <v>2022</v>
      </c>
      <c r="R6" s="38">
        <v>2023</v>
      </c>
      <c r="S6" s="38">
        <v>2024</v>
      </c>
      <c r="T6" s="39" t="s">
        <v>373</v>
      </c>
      <c r="U6" s="39" t="s">
        <v>374</v>
      </c>
      <c r="V6" s="39" t="s">
        <v>375</v>
      </c>
    </row>
    <row r="7" spans="1:22" x14ac:dyDescent="0.25">
      <c r="A7" s="15" t="s">
        <v>80</v>
      </c>
      <c r="B7" s="41">
        <v>0.66968879771023937</v>
      </c>
      <c r="C7" s="41">
        <v>0.6948989270259055</v>
      </c>
      <c r="D7" s="41">
        <v>0.70451363254499633</v>
      </c>
      <c r="E7" s="41">
        <v>0.70121807993020369</v>
      </c>
      <c r="F7" s="41">
        <v>0.67551007583057521</v>
      </c>
      <c r="G7" s="41">
        <v>0.67767360559351664</v>
      </c>
      <c r="H7" s="41">
        <v>0.67957983615620443</v>
      </c>
      <c r="I7" s="41">
        <v>0.68544851589852052</v>
      </c>
      <c r="J7" s="41">
        <v>0.69361909906914898</v>
      </c>
      <c r="K7" s="41">
        <v>0.70625147634257313</v>
      </c>
      <c r="L7" s="41">
        <v>0.71991073999424127</v>
      </c>
      <c r="M7" s="41">
        <v>0.73015712625675744</v>
      </c>
      <c r="N7" s="41">
        <v>0.71603477545141214</v>
      </c>
      <c r="O7" s="41">
        <v>0.72303163241745561</v>
      </c>
      <c r="P7" s="41">
        <v>0.7302477477477477</v>
      </c>
      <c r="Q7" s="41">
        <v>0.73891040651669682</v>
      </c>
      <c r="R7" s="41">
        <v>0.74271400699130152</v>
      </c>
      <c r="S7" s="41">
        <v>0.75416245706203278</v>
      </c>
      <c r="T7" s="89">
        <f t="shared" ref="T7:T13" si="0">(S7-J7)*100</f>
        <v>6.0543357992883795</v>
      </c>
      <c r="U7" s="89">
        <f t="shared" ref="U7:U13" si="1">(S7-O7)*100</f>
        <v>3.1130824644577171</v>
      </c>
      <c r="V7" s="89">
        <f t="shared" ref="V7:V13" si="2">(S7-R7)*100</f>
        <v>1.1448450070731253</v>
      </c>
    </row>
    <row r="8" spans="1:22" x14ac:dyDescent="0.25">
      <c r="A8" s="15" t="s">
        <v>342</v>
      </c>
      <c r="B8" s="16" t="s">
        <v>62</v>
      </c>
      <c r="C8" s="16" t="s">
        <v>62</v>
      </c>
      <c r="D8" s="16" t="s">
        <v>62</v>
      </c>
      <c r="E8" s="16" t="s">
        <v>62</v>
      </c>
      <c r="F8" s="16" t="s">
        <v>62</v>
      </c>
      <c r="G8" s="16" t="s">
        <v>62</v>
      </c>
      <c r="H8" s="16" t="s">
        <v>62</v>
      </c>
      <c r="I8" s="16" t="s">
        <v>62</v>
      </c>
      <c r="J8" s="16" t="s">
        <v>62</v>
      </c>
      <c r="K8" s="16" t="s">
        <v>62</v>
      </c>
      <c r="L8" s="16" t="s">
        <v>62</v>
      </c>
      <c r="M8" s="16" t="s">
        <v>62</v>
      </c>
      <c r="N8" s="41">
        <v>0.67178502879078694</v>
      </c>
      <c r="O8" s="41">
        <v>0.68346545866364661</v>
      </c>
      <c r="P8" s="41">
        <v>0.74596868427202623</v>
      </c>
      <c r="Q8" s="41">
        <v>0.7416628942206126</v>
      </c>
      <c r="R8" s="41">
        <v>0.74618473895582327</v>
      </c>
      <c r="S8" s="41">
        <v>0.74612279583598895</v>
      </c>
      <c r="T8" s="16" t="s">
        <v>62</v>
      </c>
      <c r="U8" s="89">
        <f t="shared" si="1"/>
        <v>6.2657337172342338</v>
      </c>
      <c r="V8" s="89">
        <f t="shared" si="2"/>
        <v>-6.1943119834317883E-3</v>
      </c>
    </row>
    <row r="9" spans="1:22" x14ac:dyDescent="0.25">
      <c r="A9" s="15" t="s">
        <v>115</v>
      </c>
      <c r="B9" s="41">
        <v>0.69907401542885372</v>
      </c>
      <c r="C9" s="41">
        <v>0.71675361802952264</v>
      </c>
      <c r="D9" s="41">
        <v>0.7346494161713838</v>
      </c>
      <c r="E9" s="41">
        <v>0.7351957915447398</v>
      </c>
      <c r="F9" s="41">
        <v>0.70264572328792507</v>
      </c>
      <c r="G9" s="41">
        <v>0.70787595050814933</v>
      </c>
      <c r="H9" s="41">
        <v>0.71116991091146531</v>
      </c>
      <c r="I9" s="41">
        <v>0.7205025844717714</v>
      </c>
      <c r="J9" s="41">
        <v>0.73008300286517569</v>
      </c>
      <c r="K9" s="41">
        <v>0.74292747785105906</v>
      </c>
      <c r="L9" s="41">
        <v>0.76295899939803358</v>
      </c>
      <c r="M9" s="41">
        <v>0.77005876729088807</v>
      </c>
      <c r="N9" s="41">
        <v>0.75701736739757264</v>
      </c>
      <c r="O9" s="41">
        <v>0.77565707807443651</v>
      </c>
      <c r="P9" s="41">
        <v>0.77361319340329837</v>
      </c>
      <c r="Q9" s="41">
        <v>0.777682379850126</v>
      </c>
      <c r="R9" s="41">
        <v>0.78411168148240895</v>
      </c>
      <c r="S9" s="41">
        <v>0.79069510239442586</v>
      </c>
      <c r="T9" s="89">
        <f t="shared" si="0"/>
        <v>6.061209952925017</v>
      </c>
      <c r="U9" s="89">
        <f t="shared" si="1"/>
        <v>1.5038024319989352</v>
      </c>
      <c r="V9" s="89">
        <f t="shared" si="2"/>
        <v>0.65834209120169129</v>
      </c>
    </row>
    <row r="10" spans="1:22" x14ac:dyDescent="0.25">
      <c r="A10" s="15" t="s">
        <v>81</v>
      </c>
      <c r="B10" s="41">
        <v>0.79869953942021132</v>
      </c>
      <c r="C10" s="41">
        <v>0.79283261802575111</v>
      </c>
      <c r="D10" s="41">
        <v>0.80230910303434477</v>
      </c>
      <c r="E10" s="41">
        <v>0.80605703048180921</v>
      </c>
      <c r="F10" s="41">
        <v>0.77388610912556588</v>
      </c>
      <c r="G10" s="41">
        <v>0.78257540958505589</v>
      </c>
      <c r="H10" s="41">
        <v>0.77830206204718555</v>
      </c>
      <c r="I10" s="41">
        <v>0.78694489826229019</v>
      </c>
      <c r="J10" s="41">
        <v>0.77692136663455125</v>
      </c>
      <c r="K10" s="41">
        <v>0.77946350043975376</v>
      </c>
      <c r="L10" s="41">
        <v>0.79899632240269691</v>
      </c>
      <c r="M10" s="41">
        <v>0.80395266089108908</v>
      </c>
      <c r="N10" s="41">
        <v>0.79636877582083065</v>
      </c>
      <c r="O10" s="41">
        <v>0.8507852440325131</v>
      </c>
      <c r="P10" s="41">
        <v>0.82861261542057896</v>
      </c>
      <c r="Q10" s="41">
        <v>0.82613390928725705</v>
      </c>
      <c r="R10" s="41">
        <v>0.8397629473048468</v>
      </c>
      <c r="S10" s="41">
        <v>0.85246584156542149</v>
      </c>
      <c r="T10" s="89">
        <f t="shared" si="0"/>
        <v>7.5544474930870242</v>
      </c>
      <c r="U10" s="89">
        <f t="shared" si="1"/>
        <v>0.168059753290839</v>
      </c>
      <c r="V10" s="89">
        <f t="shared" si="2"/>
        <v>1.2702894260574693</v>
      </c>
    </row>
    <row r="11" spans="1:22" x14ac:dyDescent="0.25">
      <c r="A11" s="15" t="s">
        <v>272</v>
      </c>
      <c r="B11" s="41">
        <v>0.67270624518118738</v>
      </c>
      <c r="C11" s="41">
        <v>0.69687385962778248</v>
      </c>
      <c r="D11" s="41">
        <v>0.72253258845437618</v>
      </c>
      <c r="E11" s="41">
        <v>0.72262126452070585</v>
      </c>
      <c r="F11" s="41">
        <v>0.69107812754852393</v>
      </c>
      <c r="G11" s="41">
        <v>0.69400914136467518</v>
      </c>
      <c r="H11" s="41">
        <v>0.70732069862504643</v>
      </c>
      <c r="I11" s="41">
        <v>0.71853971691546137</v>
      </c>
      <c r="J11" s="41">
        <v>0.73063833319498628</v>
      </c>
      <c r="K11" s="41">
        <v>0.73140600050424409</v>
      </c>
      <c r="L11" s="41">
        <v>0.75008261731658954</v>
      </c>
      <c r="M11" s="41">
        <v>0.76157567380787838</v>
      </c>
      <c r="N11" s="41">
        <v>0.74543707973102791</v>
      </c>
      <c r="O11" s="41">
        <v>0.72691075070408862</v>
      </c>
      <c r="P11" s="41">
        <v>0.74668205424120027</v>
      </c>
      <c r="Q11" s="41">
        <v>0.75882672460619227</v>
      </c>
      <c r="R11" s="41">
        <v>0.7601802539942647</v>
      </c>
      <c r="S11" s="41">
        <v>0.76973631481926741</v>
      </c>
      <c r="T11" s="89">
        <f t="shared" si="0"/>
        <v>3.9097981624281131</v>
      </c>
      <c r="U11" s="89">
        <f t="shared" si="1"/>
        <v>4.2825564115178789</v>
      </c>
      <c r="V11" s="89">
        <f t="shared" si="2"/>
        <v>0.95560608250027101</v>
      </c>
    </row>
    <row r="12" spans="1:22" x14ac:dyDescent="0.25">
      <c r="A12" s="15" t="s">
        <v>224</v>
      </c>
      <c r="B12" s="41">
        <v>0.55906103286384978</v>
      </c>
      <c r="C12" s="41">
        <v>0.58874494766297025</v>
      </c>
      <c r="D12" s="41">
        <v>0.60861010205846744</v>
      </c>
      <c r="E12" s="41">
        <v>0.62170678686105185</v>
      </c>
      <c r="F12" s="41">
        <v>0.60587818696883855</v>
      </c>
      <c r="G12" s="41">
        <v>0.60497237569060769</v>
      </c>
      <c r="H12" s="41">
        <v>0.61652873295255861</v>
      </c>
      <c r="I12" s="41">
        <v>0.61609876785145634</v>
      </c>
      <c r="J12" s="41">
        <v>0.6298339553247877</v>
      </c>
      <c r="K12" s="41">
        <v>0.63877581340068346</v>
      </c>
      <c r="L12" s="41">
        <v>0.63527251262543449</v>
      </c>
      <c r="M12" s="41">
        <v>0.65395494001755583</v>
      </c>
      <c r="N12" s="41">
        <v>0.63585772235073246</v>
      </c>
      <c r="O12" s="41">
        <v>0.67187564939113087</v>
      </c>
      <c r="P12" s="41">
        <v>0.68624126237109839</v>
      </c>
      <c r="Q12" s="41">
        <v>0.67736028453709896</v>
      </c>
      <c r="R12" s="41">
        <v>0.67546103109435995</v>
      </c>
      <c r="S12" s="41">
        <v>0.68139131572919731</v>
      </c>
      <c r="T12" s="89">
        <f t="shared" si="0"/>
        <v>5.1557360404409618</v>
      </c>
      <c r="U12" s="89">
        <f t="shared" si="1"/>
        <v>0.95156663380664419</v>
      </c>
      <c r="V12" s="89">
        <f t="shared" si="2"/>
        <v>0.59302846348373572</v>
      </c>
    </row>
    <row r="13" spans="1:22" x14ac:dyDescent="0.25">
      <c r="A13" s="81" t="s">
        <v>96</v>
      </c>
      <c r="B13" s="40">
        <v>0.66658579105335991</v>
      </c>
      <c r="C13" s="40">
        <v>0.6912781111500006</v>
      </c>
      <c r="D13" s="40">
        <v>0.70922233792689326</v>
      </c>
      <c r="E13" s="40">
        <v>0.7113320616485761</v>
      </c>
      <c r="F13" s="40">
        <v>0.6846562721474132</v>
      </c>
      <c r="G13" s="40">
        <v>0.68973220651564271</v>
      </c>
      <c r="H13" s="40">
        <v>0.69461321726761271</v>
      </c>
      <c r="I13" s="40">
        <v>0.7024570399536062</v>
      </c>
      <c r="J13" s="40">
        <v>0.71157616916382926</v>
      </c>
      <c r="K13" s="40">
        <v>0.72363000835048441</v>
      </c>
      <c r="L13" s="40">
        <v>0.73983376445526472</v>
      </c>
      <c r="M13" s="40">
        <v>0.74877261002307971</v>
      </c>
      <c r="N13" s="40">
        <v>0.73562169704699432</v>
      </c>
      <c r="O13" s="40">
        <v>0.75559151532642077</v>
      </c>
      <c r="P13" s="40">
        <v>0.75558506614668253</v>
      </c>
      <c r="Q13" s="40">
        <v>0.75949903510144479</v>
      </c>
      <c r="R13" s="40">
        <v>0.76487132988940454</v>
      </c>
      <c r="S13" s="40">
        <v>0.77306330481553465</v>
      </c>
      <c r="T13" s="90">
        <f t="shared" si="0"/>
        <v>6.1487135651705387</v>
      </c>
      <c r="U13" s="90">
        <f t="shared" si="1"/>
        <v>1.7471789489113876</v>
      </c>
      <c r="V13" s="90">
        <f t="shared" si="2"/>
        <v>0.81919749261301078</v>
      </c>
    </row>
    <row r="15" spans="1:22" ht="18" x14ac:dyDescent="0.25">
      <c r="A15" s="25" t="s">
        <v>274</v>
      </c>
      <c r="B15" s="25"/>
      <c r="C15" s="25"/>
      <c r="D15" s="25"/>
      <c r="E15" s="25"/>
      <c r="F15" s="25"/>
      <c r="G15" s="25"/>
    </row>
    <row r="16" spans="1:22" ht="45" customHeight="1" x14ac:dyDescent="0.25">
      <c r="A16" s="14" t="s">
        <v>275</v>
      </c>
      <c r="B16" s="38">
        <v>2007</v>
      </c>
      <c r="C16" s="38">
        <v>2008</v>
      </c>
      <c r="D16" s="38">
        <v>2009</v>
      </c>
      <c r="E16" s="38">
        <v>2010</v>
      </c>
      <c r="F16" s="38">
        <v>2011</v>
      </c>
      <c r="G16" s="38">
        <v>2012</v>
      </c>
      <c r="H16" s="38">
        <v>2013</v>
      </c>
      <c r="I16" s="38">
        <v>2014</v>
      </c>
      <c r="J16" s="38">
        <v>2015</v>
      </c>
      <c r="K16" s="38">
        <v>2016</v>
      </c>
      <c r="L16" s="38">
        <v>2017</v>
      </c>
      <c r="M16" s="38">
        <v>2018</v>
      </c>
      <c r="N16" s="38">
        <v>2019</v>
      </c>
      <c r="O16" s="38">
        <v>2020</v>
      </c>
      <c r="P16" s="38">
        <v>2021</v>
      </c>
      <c r="Q16" s="38">
        <v>2022</v>
      </c>
      <c r="R16" s="38">
        <v>2023</v>
      </c>
      <c r="S16" s="38">
        <v>2024</v>
      </c>
      <c r="T16" s="39" t="s">
        <v>373</v>
      </c>
      <c r="U16" s="39" t="s">
        <v>374</v>
      </c>
      <c r="V16" s="39" t="s">
        <v>375</v>
      </c>
    </row>
    <row r="17" spans="1:22" x14ac:dyDescent="0.25">
      <c r="A17" s="81" t="s">
        <v>80</v>
      </c>
      <c r="B17" s="40">
        <v>0.66968879771023937</v>
      </c>
      <c r="C17" s="40">
        <v>0.6948989270259055</v>
      </c>
      <c r="D17" s="40">
        <v>0.70451363254499633</v>
      </c>
      <c r="E17" s="40">
        <v>0.70121807993020369</v>
      </c>
      <c r="F17" s="40">
        <v>0.67551007583057521</v>
      </c>
      <c r="G17" s="40">
        <v>0.67767360559351664</v>
      </c>
      <c r="H17" s="40">
        <v>0.67957983615620443</v>
      </c>
      <c r="I17" s="40">
        <v>0.68544851589852052</v>
      </c>
      <c r="J17" s="40">
        <v>0.69361909906914898</v>
      </c>
      <c r="K17" s="40">
        <v>0.70625147634257313</v>
      </c>
      <c r="L17" s="40">
        <v>0.71991073999424127</v>
      </c>
      <c r="M17" s="40">
        <v>0.73015712625675744</v>
      </c>
      <c r="N17" s="40">
        <v>0.71603477545141214</v>
      </c>
      <c r="O17" s="40">
        <v>0.72303163241745561</v>
      </c>
      <c r="P17" s="40">
        <v>0.7302477477477477</v>
      </c>
      <c r="Q17" s="40">
        <v>0.73891040651669682</v>
      </c>
      <c r="R17" s="61">
        <v>0.74271400699130152</v>
      </c>
      <c r="S17" s="61">
        <v>0.75416245706203278</v>
      </c>
      <c r="T17" s="90">
        <f t="shared" ref="T17:T41" si="3">(S17-J17)*100</f>
        <v>6.0543357992883795</v>
      </c>
      <c r="U17" s="90">
        <f t="shared" ref="U17:U41" si="4">(S17-O17)*100</f>
        <v>3.1130824644577171</v>
      </c>
      <c r="V17" s="90">
        <f t="shared" ref="V17:V41" si="5">(S17-R17)*100</f>
        <v>1.1448450070731253</v>
      </c>
    </row>
    <row r="18" spans="1:22" x14ac:dyDescent="0.25">
      <c r="A18" s="84" t="s">
        <v>2</v>
      </c>
      <c r="B18" s="41">
        <v>0.58456639820191048</v>
      </c>
      <c r="C18" s="41">
        <v>0.64162455318624434</v>
      </c>
      <c r="D18" s="41">
        <v>0.6827332457293035</v>
      </c>
      <c r="E18" s="41">
        <v>0.64455042133530882</v>
      </c>
      <c r="F18" s="41">
        <v>0.62153066130512702</v>
      </c>
      <c r="G18" s="41">
        <v>0.64050278066645572</v>
      </c>
      <c r="H18" s="41">
        <v>0.64004070211142206</v>
      </c>
      <c r="I18" s="41">
        <v>0.63332760251010056</v>
      </c>
      <c r="J18" s="41">
        <v>0.65118093174431202</v>
      </c>
      <c r="K18" s="41">
        <v>0.67423652763151876</v>
      </c>
      <c r="L18" s="41">
        <v>0.68931908012935683</v>
      </c>
      <c r="M18" s="41">
        <v>0.70107133524954268</v>
      </c>
      <c r="N18" s="41">
        <v>0.67580290365156181</v>
      </c>
      <c r="O18" s="41">
        <v>0.64962485571373607</v>
      </c>
      <c r="P18" s="41">
        <v>0.69012871429254985</v>
      </c>
      <c r="Q18" s="41">
        <v>0.7172818381813737</v>
      </c>
      <c r="R18" s="41">
        <v>0.70917883129208659</v>
      </c>
      <c r="S18" s="41">
        <v>0.71016213560432362</v>
      </c>
      <c r="T18" s="89">
        <f t="shared" si="3"/>
        <v>5.8981203860011604</v>
      </c>
      <c r="U18" s="89">
        <f t="shared" si="4"/>
        <v>6.0537279890587552</v>
      </c>
      <c r="V18" s="89">
        <f t="shared" si="5"/>
        <v>9.8330431223703219E-2</v>
      </c>
    </row>
    <row r="19" spans="1:22" x14ac:dyDescent="0.25">
      <c r="A19" s="84" t="s">
        <v>3</v>
      </c>
      <c r="B19" s="41">
        <v>0.57148008860955124</v>
      </c>
      <c r="C19" s="41">
        <v>0.63799781507597575</v>
      </c>
      <c r="D19" s="41">
        <v>0.63906513533049558</v>
      </c>
      <c r="E19" s="41">
        <v>0.64397941917883905</v>
      </c>
      <c r="F19" s="41">
        <v>0.63979670232255781</v>
      </c>
      <c r="G19" s="41">
        <v>0.64253457126027325</v>
      </c>
      <c r="H19" s="41">
        <v>0.6574656188605108</v>
      </c>
      <c r="I19" s="41">
        <v>0.6680625140207882</v>
      </c>
      <c r="J19" s="41">
        <v>0.66997359583685812</v>
      </c>
      <c r="K19" s="41">
        <v>0.67517536529160016</v>
      </c>
      <c r="L19" s="41">
        <v>0.69591852560291567</v>
      </c>
      <c r="M19" s="41">
        <v>0.71079523626584706</v>
      </c>
      <c r="N19" s="41">
        <v>0.68183687104897983</v>
      </c>
      <c r="O19" s="41">
        <v>0.66822416345009727</v>
      </c>
      <c r="P19" s="41">
        <v>0.68755056907060785</v>
      </c>
      <c r="Q19" s="41">
        <v>0.7055035870915406</v>
      </c>
      <c r="R19" s="41">
        <v>0.70889044706109916</v>
      </c>
      <c r="S19" s="41">
        <v>0.71859012263156541</v>
      </c>
      <c r="T19" s="89">
        <f t="shared" si="3"/>
        <v>4.8616526794707298</v>
      </c>
      <c r="U19" s="89">
        <f t="shared" si="4"/>
        <v>5.0365959181468138</v>
      </c>
      <c r="V19" s="89">
        <f t="shared" si="5"/>
        <v>0.96996755704662485</v>
      </c>
    </row>
    <row r="20" spans="1:22" x14ac:dyDescent="0.25">
      <c r="A20" s="84" t="s">
        <v>4</v>
      </c>
      <c r="B20" s="41">
        <v>0.76243658166963169</v>
      </c>
      <c r="C20" s="41">
        <v>0.75951401388531758</v>
      </c>
      <c r="D20" s="41">
        <v>0.76353399740147254</v>
      </c>
      <c r="E20" s="41">
        <v>0.77539515007980231</v>
      </c>
      <c r="F20" s="41">
        <v>0.73856276609469751</v>
      </c>
      <c r="G20" s="41">
        <v>0.73432167526687964</v>
      </c>
      <c r="H20" s="41">
        <v>0.73168651752465963</v>
      </c>
      <c r="I20" s="41">
        <v>0.74160639736579059</v>
      </c>
      <c r="J20" s="41">
        <v>0.74926840688282803</v>
      </c>
      <c r="K20" s="41">
        <v>0.75970476428313771</v>
      </c>
      <c r="L20" s="41">
        <v>0.76425205962582321</v>
      </c>
      <c r="M20" s="41">
        <v>0.76868337031224632</v>
      </c>
      <c r="N20" s="41">
        <v>0.7791904587775309</v>
      </c>
      <c r="O20" s="41">
        <v>0.83188294922061778</v>
      </c>
      <c r="P20" s="41">
        <v>0.80881160172598388</v>
      </c>
      <c r="Q20" s="41">
        <v>0.79718589637477244</v>
      </c>
      <c r="R20" s="41">
        <v>0.80402038829391209</v>
      </c>
      <c r="S20" s="41">
        <v>0.8231021621470036</v>
      </c>
      <c r="T20" s="89">
        <f t="shared" si="3"/>
        <v>7.3833755264175576</v>
      </c>
      <c r="U20" s="89">
        <f t="shared" si="4"/>
        <v>-0.87807870736141824</v>
      </c>
      <c r="V20" s="89">
        <f t="shared" si="5"/>
        <v>1.908177385309151</v>
      </c>
    </row>
    <row r="21" spans="1:22" x14ac:dyDescent="0.25">
      <c r="A21" s="81" t="s">
        <v>342</v>
      </c>
      <c r="B21" s="18" t="s">
        <v>62</v>
      </c>
      <c r="C21" s="18" t="s">
        <v>62</v>
      </c>
      <c r="D21" s="18" t="s">
        <v>62</v>
      </c>
      <c r="E21" s="18" t="s">
        <v>62</v>
      </c>
      <c r="F21" s="18" t="s">
        <v>62</v>
      </c>
      <c r="G21" s="18" t="s">
        <v>62</v>
      </c>
      <c r="H21" s="18" t="s">
        <v>62</v>
      </c>
      <c r="I21" s="18" t="s">
        <v>62</v>
      </c>
      <c r="J21" s="18" t="s">
        <v>62</v>
      </c>
      <c r="K21" s="18" t="s">
        <v>62</v>
      </c>
      <c r="L21" s="18" t="s">
        <v>62</v>
      </c>
      <c r="M21" s="18" t="s">
        <v>62</v>
      </c>
      <c r="N21" s="61">
        <v>0.67178502879078694</v>
      </c>
      <c r="O21" s="61">
        <v>0.68346545866364661</v>
      </c>
      <c r="P21" s="61">
        <v>0.74596868427202623</v>
      </c>
      <c r="Q21" s="61">
        <v>0.7416628942206126</v>
      </c>
      <c r="R21" s="61">
        <v>0.74618473895582327</v>
      </c>
      <c r="S21" s="61">
        <v>0.74612279583598895</v>
      </c>
      <c r="T21" s="90" t="s">
        <v>62</v>
      </c>
      <c r="U21" s="90">
        <f t="shared" si="4"/>
        <v>6.2657337172342338</v>
      </c>
      <c r="V21" s="90">
        <f t="shared" si="5"/>
        <v>-6.1943119834317883E-3</v>
      </c>
    </row>
    <row r="22" spans="1:22" x14ac:dyDescent="0.25">
      <c r="A22" s="84" t="s">
        <v>2</v>
      </c>
      <c r="B22" s="16" t="s">
        <v>62</v>
      </c>
      <c r="C22" s="16" t="s">
        <v>62</v>
      </c>
      <c r="D22" s="16" t="s">
        <v>62</v>
      </c>
      <c r="E22" s="16" t="s">
        <v>62</v>
      </c>
      <c r="F22" s="16" t="s">
        <v>62</v>
      </c>
      <c r="G22" s="16" t="s">
        <v>62</v>
      </c>
      <c r="H22" s="16" t="s">
        <v>62</v>
      </c>
      <c r="I22" s="16" t="s">
        <v>62</v>
      </c>
      <c r="J22" s="16" t="s">
        <v>62</v>
      </c>
      <c r="K22" s="16" t="s">
        <v>62</v>
      </c>
      <c r="L22" s="16" t="s">
        <v>62</v>
      </c>
      <c r="M22" s="16" t="s">
        <v>62</v>
      </c>
      <c r="N22" s="41">
        <v>0.70109890109890105</v>
      </c>
      <c r="O22" s="41">
        <v>0.53837471783295709</v>
      </c>
      <c r="P22" s="41">
        <v>0.69103313840155944</v>
      </c>
      <c r="Q22" s="41">
        <v>0.6900695762175838</v>
      </c>
      <c r="R22" s="41">
        <v>0.70087548638132291</v>
      </c>
      <c r="S22" s="41">
        <v>0.67682173734046935</v>
      </c>
      <c r="T22" s="89" t="s">
        <v>62</v>
      </c>
      <c r="U22" s="89">
        <f t="shared" si="4"/>
        <v>13.844701950751226</v>
      </c>
      <c r="V22" s="89">
        <f t="shared" si="5"/>
        <v>-2.4053749040853556</v>
      </c>
    </row>
    <row r="23" spans="1:22" x14ac:dyDescent="0.25">
      <c r="A23" s="84" t="s">
        <v>3</v>
      </c>
      <c r="B23" s="16" t="s">
        <v>62</v>
      </c>
      <c r="C23" s="16" t="s">
        <v>62</v>
      </c>
      <c r="D23" s="16" t="s">
        <v>62</v>
      </c>
      <c r="E23" s="16" t="s">
        <v>62</v>
      </c>
      <c r="F23" s="16" t="s">
        <v>62</v>
      </c>
      <c r="G23" s="16" t="s">
        <v>62</v>
      </c>
      <c r="H23" s="16" t="s">
        <v>62</v>
      </c>
      <c r="I23" s="16" t="s">
        <v>62</v>
      </c>
      <c r="J23" s="16" t="s">
        <v>62</v>
      </c>
      <c r="K23" s="16" t="s">
        <v>62</v>
      </c>
      <c r="L23" s="16" t="s">
        <v>62</v>
      </c>
      <c r="M23" s="16" t="s">
        <v>62</v>
      </c>
      <c r="N23" s="41">
        <v>0.65176470588235291</v>
      </c>
      <c r="O23" s="41">
        <v>0.61100196463654222</v>
      </c>
      <c r="P23" s="41">
        <v>0.69212962962962965</v>
      </c>
      <c r="Q23" s="41">
        <v>0.72037037037037033</v>
      </c>
      <c r="R23" s="41">
        <v>0.71488549618320607</v>
      </c>
      <c r="S23" s="41">
        <v>0.73198198198198194</v>
      </c>
      <c r="T23" s="89" t="s">
        <v>62</v>
      </c>
      <c r="U23" s="89">
        <f t="shared" si="4"/>
        <v>12.098001734543972</v>
      </c>
      <c r="V23" s="89">
        <f t="shared" si="5"/>
        <v>1.7096485798775873</v>
      </c>
    </row>
    <row r="24" spans="1:22" x14ac:dyDescent="0.25">
      <c r="A24" s="84" t="s">
        <v>4</v>
      </c>
      <c r="B24" s="16" t="s">
        <v>62</v>
      </c>
      <c r="C24" s="16" t="s">
        <v>62</v>
      </c>
      <c r="D24" s="16" t="s">
        <v>62</v>
      </c>
      <c r="E24" s="16" t="s">
        <v>62</v>
      </c>
      <c r="F24" s="16" t="s">
        <v>62</v>
      </c>
      <c r="G24" s="16" t="s">
        <v>62</v>
      </c>
      <c r="H24" s="16" t="s">
        <v>62</v>
      </c>
      <c r="I24" s="16" t="s">
        <v>62</v>
      </c>
      <c r="J24" s="16" t="s">
        <v>62</v>
      </c>
      <c r="K24" s="16" t="s">
        <v>62</v>
      </c>
      <c r="L24" s="16" t="s">
        <v>62</v>
      </c>
      <c r="M24" s="16" t="s">
        <v>62</v>
      </c>
      <c r="N24" s="41">
        <v>0.66471449487554901</v>
      </c>
      <c r="O24" s="41">
        <v>0.80773955773955775</v>
      </c>
      <c r="P24" s="41">
        <v>0.81042411854879914</v>
      </c>
      <c r="Q24" s="41">
        <v>0.78586278586278591</v>
      </c>
      <c r="R24" s="41">
        <v>0.78955186927457288</v>
      </c>
      <c r="S24" s="41">
        <v>0.79379773200647996</v>
      </c>
      <c r="T24" s="89" t="s">
        <v>62</v>
      </c>
      <c r="U24" s="89">
        <f t="shared" si="4"/>
        <v>-1.3941825733077784</v>
      </c>
      <c r="V24" s="89">
        <f t="shared" si="5"/>
        <v>0.42458627319070796</v>
      </c>
    </row>
    <row r="25" spans="1:22" x14ac:dyDescent="0.25">
      <c r="A25" s="81" t="s">
        <v>115</v>
      </c>
      <c r="B25" s="40">
        <v>0.69907401542885372</v>
      </c>
      <c r="C25" s="40">
        <v>0.71675361802952264</v>
      </c>
      <c r="D25" s="40">
        <v>0.7346494161713838</v>
      </c>
      <c r="E25" s="40">
        <v>0.7351957915447398</v>
      </c>
      <c r="F25" s="40">
        <v>0.70264572328792507</v>
      </c>
      <c r="G25" s="40">
        <v>0.70787595050814933</v>
      </c>
      <c r="H25" s="40">
        <v>0.71116991091146531</v>
      </c>
      <c r="I25" s="40">
        <v>0.7205025844717714</v>
      </c>
      <c r="J25" s="40">
        <v>0.73008300286517569</v>
      </c>
      <c r="K25" s="40">
        <v>0.74292747785105906</v>
      </c>
      <c r="L25" s="40">
        <v>0.76295899939803358</v>
      </c>
      <c r="M25" s="40">
        <v>0.77005876729088807</v>
      </c>
      <c r="N25" s="61">
        <v>0.75701736739757264</v>
      </c>
      <c r="O25" s="61">
        <v>0.77565707807443651</v>
      </c>
      <c r="P25" s="61">
        <v>0.77361319340329837</v>
      </c>
      <c r="Q25" s="61">
        <v>0.777682379850126</v>
      </c>
      <c r="R25" s="61">
        <v>0.78411168148240895</v>
      </c>
      <c r="S25" s="61">
        <v>0.79069510239442586</v>
      </c>
      <c r="T25" s="90">
        <f t="shared" si="3"/>
        <v>6.061209952925017</v>
      </c>
      <c r="U25" s="90">
        <f t="shared" si="4"/>
        <v>1.5038024319989352</v>
      </c>
      <c r="V25" s="90">
        <f t="shared" si="5"/>
        <v>0.65834209120169129</v>
      </c>
    </row>
    <row r="26" spans="1:22" x14ac:dyDescent="0.25">
      <c r="A26" s="84" t="s">
        <v>2</v>
      </c>
      <c r="B26" s="41">
        <v>0.58974110346165032</v>
      </c>
      <c r="C26" s="41">
        <v>0.64516129032258063</v>
      </c>
      <c r="D26" s="41">
        <v>0.67676056338028168</v>
      </c>
      <c r="E26" s="41">
        <v>0.64766028002947684</v>
      </c>
      <c r="F26" s="41">
        <v>0.62435707436143317</v>
      </c>
      <c r="G26" s="41">
        <v>0.63761807339050192</v>
      </c>
      <c r="H26" s="41">
        <v>0.64514342235410482</v>
      </c>
      <c r="I26" s="41">
        <v>0.63885378725934738</v>
      </c>
      <c r="J26" s="41">
        <v>0.66827641715534092</v>
      </c>
      <c r="K26" s="41">
        <v>0.67026500547867374</v>
      </c>
      <c r="L26" s="41">
        <v>0.69666100735710246</v>
      </c>
      <c r="M26" s="41">
        <v>0.71195138974422134</v>
      </c>
      <c r="N26" s="41">
        <v>0.68765980881947997</v>
      </c>
      <c r="O26" s="41">
        <v>0.6719819704894332</v>
      </c>
      <c r="P26" s="41">
        <v>0.6933858401084011</v>
      </c>
      <c r="Q26" s="41">
        <v>0.72502777065709645</v>
      </c>
      <c r="R26" s="41">
        <v>0.71685981901889184</v>
      </c>
      <c r="S26" s="41">
        <v>0.7172366472861218</v>
      </c>
      <c r="T26" s="89">
        <f t="shared" si="3"/>
        <v>4.8960230130780875</v>
      </c>
      <c r="U26" s="89">
        <f t="shared" si="4"/>
        <v>4.5254676796688598</v>
      </c>
      <c r="V26" s="89">
        <f t="shared" si="5"/>
        <v>3.768282672299561E-2</v>
      </c>
    </row>
    <row r="27" spans="1:22" x14ac:dyDescent="0.25">
      <c r="A27" s="84" t="s">
        <v>3</v>
      </c>
      <c r="B27" s="41">
        <v>0.59436885356324931</v>
      </c>
      <c r="C27" s="41">
        <v>0.63587245712414553</v>
      </c>
      <c r="D27" s="41">
        <v>0.66142974753018657</v>
      </c>
      <c r="E27" s="41">
        <v>0.66272155353192952</v>
      </c>
      <c r="F27" s="41">
        <v>0.64777327935222673</v>
      </c>
      <c r="G27" s="41">
        <v>0.65834697217675942</v>
      </c>
      <c r="H27" s="41">
        <v>0.67239888557978678</v>
      </c>
      <c r="I27" s="41">
        <v>0.68775141159537956</v>
      </c>
      <c r="J27" s="41">
        <v>0.68744166555553443</v>
      </c>
      <c r="K27" s="41">
        <v>0.70207042867155389</v>
      </c>
      <c r="L27" s="41">
        <v>0.73272558355591688</v>
      </c>
      <c r="M27" s="41">
        <v>0.74585667487255036</v>
      </c>
      <c r="N27" s="41">
        <v>0.71276068473826681</v>
      </c>
      <c r="O27" s="41">
        <v>0.7064852046602742</v>
      </c>
      <c r="P27" s="41">
        <v>0.72099813142323266</v>
      </c>
      <c r="Q27" s="41">
        <v>0.73951089788510949</v>
      </c>
      <c r="R27" s="41">
        <v>0.74172345798595496</v>
      </c>
      <c r="S27" s="41">
        <v>0.74423540415122846</v>
      </c>
      <c r="T27" s="89">
        <f t="shared" si="3"/>
        <v>5.6793738595694032</v>
      </c>
      <c r="U27" s="89">
        <f t="shared" si="4"/>
        <v>3.7750199490954262</v>
      </c>
      <c r="V27" s="89">
        <f t="shared" si="5"/>
        <v>0.25119461652735042</v>
      </c>
    </row>
    <row r="28" spans="1:22" x14ac:dyDescent="0.25">
      <c r="A28" s="84" t="s">
        <v>4</v>
      </c>
      <c r="B28" s="41">
        <v>0.77368909212484627</v>
      </c>
      <c r="C28" s="41">
        <v>0.77727984771271641</v>
      </c>
      <c r="D28" s="41">
        <v>0.79080326776760979</v>
      </c>
      <c r="E28" s="41">
        <v>0.80493803802856878</v>
      </c>
      <c r="F28" s="41">
        <v>0.76263977395695559</v>
      </c>
      <c r="G28" s="41">
        <v>0.76160525831173065</v>
      </c>
      <c r="H28" s="41">
        <v>0.76464700677410469</v>
      </c>
      <c r="I28" s="41">
        <v>0.77852937309158909</v>
      </c>
      <c r="J28" s="41">
        <v>0.78475603696710727</v>
      </c>
      <c r="K28" s="41">
        <v>0.79591644964695141</v>
      </c>
      <c r="L28" s="41">
        <v>0.80676004705496129</v>
      </c>
      <c r="M28" s="41">
        <v>0.80623955885748433</v>
      </c>
      <c r="N28" s="41">
        <v>0.81434646531276755</v>
      </c>
      <c r="O28" s="41">
        <v>0.86165837725484373</v>
      </c>
      <c r="P28" s="41">
        <v>0.84499542003695016</v>
      </c>
      <c r="Q28" s="41">
        <v>0.82813768224860962</v>
      </c>
      <c r="R28" s="41">
        <v>0.83813371562622185</v>
      </c>
      <c r="S28" s="41">
        <v>0.84879945635759591</v>
      </c>
      <c r="T28" s="89">
        <f t="shared" si="3"/>
        <v>6.4043419390488632</v>
      </c>
      <c r="U28" s="89">
        <f t="shared" si="4"/>
        <v>-1.2858920897247827</v>
      </c>
      <c r="V28" s="89">
        <f t="shared" si="5"/>
        <v>1.0665740731374052</v>
      </c>
    </row>
    <row r="29" spans="1:22" x14ac:dyDescent="0.25">
      <c r="A29" s="81" t="s">
        <v>81</v>
      </c>
      <c r="B29" s="40">
        <v>0.79869953942021132</v>
      </c>
      <c r="C29" s="40">
        <v>0.79283261802575111</v>
      </c>
      <c r="D29" s="40">
        <v>0.80230910303434477</v>
      </c>
      <c r="E29" s="40">
        <v>0.80605703048180921</v>
      </c>
      <c r="F29" s="40">
        <v>0.77388610912556588</v>
      </c>
      <c r="G29" s="40">
        <v>0.78257540958505589</v>
      </c>
      <c r="H29" s="40">
        <v>0.77830206204718555</v>
      </c>
      <c r="I29" s="40">
        <v>0.78694489826229019</v>
      </c>
      <c r="J29" s="40">
        <v>0.77692136663455125</v>
      </c>
      <c r="K29" s="40">
        <v>0.77946350043975376</v>
      </c>
      <c r="L29" s="40">
        <v>0.79899632240269691</v>
      </c>
      <c r="M29" s="40">
        <v>0.80395266089108908</v>
      </c>
      <c r="N29" s="61">
        <v>0.79636877582083065</v>
      </c>
      <c r="O29" s="61">
        <v>0.8507852440325131</v>
      </c>
      <c r="P29" s="61">
        <v>0.82861261542057896</v>
      </c>
      <c r="Q29" s="61">
        <v>0.82613390928725705</v>
      </c>
      <c r="R29" s="61">
        <v>0.8397629473048468</v>
      </c>
      <c r="S29" s="61">
        <v>0.85246584156542149</v>
      </c>
      <c r="T29" s="90">
        <f t="shared" si="3"/>
        <v>7.5544474930870242</v>
      </c>
      <c r="U29" s="90">
        <f t="shared" si="4"/>
        <v>0.168059753290839</v>
      </c>
      <c r="V29" s="90">
        <f t="shared" si="5"/>
        <v>1.2702894260574693</v>
      </c>
    </row>
    <row r="30" spans="1:22" x14ac:dyDescent="0.25">
      <c r="A30" s="84" t="s">
        <v>2</v>
      </c>
      <c r="B30" s="41">
        <v>0.5860058309037901</v>
      </c>
      <c r="C30" s="41">
        <v>0.63829787234042556</v>
      </c>
      <c r="D30" s="41">
        <v>0.63465783664459163</v>
      </c>
      <c r="E30" s="41">
        <v>0.61296296296296293</v>
      </c>
      <c r="F30" s="41">
        <v>0.59443507588532885</v>
      </c>
      <c r="G30" s="41">
        <v>0.62276975361087505</v>
      </c>
      <c r="H30" s="41">
        <v>0.61600587371512483</v>
      </c>
      <c r="I30" s="41">
        <v>0.61966987620357639</v>
      </c>
      <c r="J30" s="41">
        <v>0.63600264725347455</v>
      </c>
      <c r="K30" s="41">
        <v>0.6044531761624099</v>
      </c>
      <c r="L30" s="41">
        <v>0.63422053231939168</v>
      </c>
      <c r="M30" s="41">
        <v>0.69486166007905137</v>
      </c>
      <c r="N30" s="41">
        <v>0.62599277978339352</v>
      </c>
      <c r="O30" s="41">
        <v>0.67143933685003765</v>
      </c>
      <c r="P30" s="41">
        <v>0.67816091954022983</v>
      </c>
      <c r="Q30" s="41">
        <v>0.7011173184357542</v>
      </c>
      <c r="R30" s="41">
        <v>0.72670807453416153</v>
      </c>
      <c r="S30" s="41">
        <v>0.73069852941176472</v>
      </c>
      <c r="T30" s="89">
        <f t="shared" si="3"/>
        <v>9.4695882158290168</v>
      </c>
      <c r="U30" s="89">
        <f t="shared" si="4"/>
        <v>5.9259192561727065</v>
      </c>
      <c r="V30" s="89">
        <f t="shared" si="5"/>
        <v>0.3990454877603189</v>
      </c>
    </row>
    <row r="31" spans="1:22" x14ac:dyDescent="0.25">
      <c r="A31" s="84" t="s">
        <v>3</v>
      </c>
      <c r="B31" s="41">
        <v>0.67311233885819521</v>
      </c>
      <c r="C31" s="41">
        <v>0.7061183550651956</v>
      </c>
      <c r="D31" s="41">
        <v>0.696588868940754</v>
      </c>
      <c r="E31" s="41">
        <v>0.68342719227674975</v>
      </c>
      <c r="F31" s="41">
        <v>0.65237543453070679</v>
      </c>
      <c r="G31" s="41">
        <v>0.66799276672694397</v>
      </c>
      <c r="H31" s="41">
        <v>0.67367511520737322</v>
      </c>
      <c r="I31" s="41">
        <v>0.67823691460055091</v>
      </c>
      <c r="J31" s="41">
        <v>0.680729450190528</v>
      </c>
      <c r="K31" s="41">
        <v>0.67807660961695193</v>
      </c>
      <c r="L31" s="41">
        <v>0.71575636259651132</v>
      </c>
      <c r="M31" s="41">
        <v>0.73567631423508562</v>
      </c>
      <c r="N31" s="41">
        <v>0.69073275862068961</v>
      </c>
      <c r="O31" s="41">
        <v>0.71291002106530243</v>
      </c>
      <c r="P31" s="41">
        <v>0.70231213872832365</v>
      </c>
      <c r="Q31" s="41">
        <v>0.73038348082595872</v>
      </c>
      <c r="R31" s="41">
        <v>0.74936133976724384</v>
      </c>
      <c r="S31" s="41">
        <v>0.75594202898550722</v>
      </c>
      <c r="T31" s="89">
        <f t="shared" si="3"/>
        <v>7.5212578794979219</v>
      </c>
      <c r="U31" s="89">
        <f t="shared" si="4"/>
        <v>4.303200792020478</v>
      </c>
      <c r="V31" s="89">
        <f t="shared" si="5"/>
        <v>0.65806892182633803</v>
      </c>
    </row>
    <row r="32" spans="1:22" x14ac:dyDescent="0.25">
      <c r="A32" s="84" t="s">
        <v>4</v>
      </c>
      <c r="B32" s="41">
        <v>0.82040647034425551</v>
      </c>
      <c r="C32" s="41">
        <v>0.80767350928641246</v>
      </c>
      <c r="D32" s="41">
        <v>0.82088407325726342</v>
      </c>
      <c r="E32" s="41">
        <v>0.82954389496317305</v>
      </c>
      <c r="F32" s="41">
        <v>0.7985238473396552</v>
      </c>
      <c r="G32" s="41">
        <v>0.80533766116671179</v>
      </c>
      <c r="H32" s="41">
        <v>0.80476427698020925</v>
      </c>
      <c r="I32" s="41">
        <v>0.81613877700476012</v>
      </c>
      <c r="J32" s="41">
        <v>0.80289894958946839</v>
      </c>
      <c r="K32" s="41">
        <v>0.80846920289855073</v>
      </c>
      <c r="L32" s="41">
        <v>0.82284426075521322</v>
      </c>
      <c r="M32" s="41">
        <v>0.82136288611176611</v>
      </c>
      <c r="N32" s="41">
        <v>0.82428768280215137</v>
      </c>
      <c r="O32" s="41">
        <v>0.88167176893384802</v>
      </c>
      <c r="P32" s="41">
        <v>0.85742076295312208</v>
      </c>
      <c r="Q32" s="41">
        <v>0.84847599571525956</v>
      </c>
      <c r="R32" s="41">
        <v>0.86017763941031045</v>
      </c>
      <c r="S32" s="41">
        <v>0.87373760453319926</v>
      </c>
      <c r="T32" s="89">
        <f t="shared" si="3"/>
        <v>7.0838654943730877</v>
      </c>
      <c r="U32" s="89">
        <f t="shared" si="4"/>
        <v>-0.79341644006487577</v>
      </c>
      <c r="V32" s="89">
        <f t="shared" si="5"/>
        <v>1.3559965122888817</v>
      </c>
    </row>
    <row r="33" spans="1:22" x14ac:dyDescent="0.25">
      <c r="A33" s="81" t="s">
        <v>272</v>
      </c>
      <c r="B33" s="40">
        <v>0.67270624518118738</v>
      </c>
      <c r="C33" s="40">
        <v>0.69687385962778248</v>
      </c>
      <c r="D33" s="40">
        <v>0.72253258845437618</v>
      </c>
      <c r="E33" s="40">
        <v>0.72262126452070585</v>
      </c>
      <c r="F33" s="40">
        <v>0.69107812754852393</v>
      </c>
      <c r="G33" s="40">
        <v>0.69400914136467518</v>
      </c>
      <c r="H33" s="40">
        <v>0.70732069862504643</v>
      </c>
      <c r="I33" s="40">
        <v>0.71853971691546137</v>
      </c>
      <c r="J33" s="40">
        <v>0.73063833319498628</v>
      </c>
      <c r="K33" s="40">
        <v>0.73140600050424409</v>
      </c>
      <c r="L33" s="40">
        <v>0.75008261731658954</v>
      </c>
      <c r="M33" s="40">
        <v>0.76157567380787838</v>
      </c>
      <c r="N33" s="61">
        <v>0.74543707973102791</v>
      </c>
      <c r="O33" s="61">
        <v>0.72691075070408862</v>
      </c>
      <c r="P33" s="61">
        <v>0.74668205424120027</v>
      </c>
      <c r="Q33" s="61">
        <v>0.75882672460619227</v>
      </c>
      <c r="R33" s="61">
        <v>0.7601802539942647</v>
      </c>
      <c r="S33" s="61">
        <v>0.76973631481926741</v>
      </c>
      <c r="T33" s="90">
        <f t="shared" si="3"/>
        <v>3.9097981624281131</v>
      </c>
      <c r="U33" s="90">
        <f t="shared" si="4"/>
        <v>4.2825564115178789</v>
      </c>
      <c r="V33" s="90">
        <f t="shared" si="5"/>
        <v>0.95560608250027101</v>
      </c>
    </row>
    <row r="34" spans="1:22" x14ac:dyDescent="0.25">
      <c r="A34" s="84" t="s">
        <v>2</v>
      </c>
      <c r="B34" s="41">
        <v>0.65539661898569568</v>
      </c>
      <c r="C34" s="41">
        <v>0.67468671679198</v>
      </c>
      <c r="D34" s="41">
        <v>0.72627583298186416</v>
      </c>
      <c r="E34" s="41">
        <v>0.69090257879656158</v>
      </c>
      <c r="F34" s="41">
        <v>0.66678224687933429</v>
      </c>
      <c r="G34" s="41">
        <v>0.69126074498567336</v>
      </c>
      <c r="H34" s="41">
        <v>0.69863923000331896</v>
      </c>
      <c r="I34" s="41">
        <v>0.68293503870750594</v>
      </c>
      <c r="J34" s="41">
        <v>0.71997157071783935</v>
      </c>
      <c r="K34" s="41">
        <v>0.72403335860500384</v>
      </c>
      <c r="L34" s="41">
        <v>0.73972602739726023</v>
      </c>
      <c r="M34" s="41">
        <v>0.75858123569794045</v>
      </c>
      <c r="N34" s="41">
        <v>0.70940170940170943</v>
      </c>
      <c r="O34" s="41">
        <v>0.68647717484926785</v>
      </c>
      <c r="P34" s="41">
        <v>0.71441441441441444</v>
      </c>
      <c r="Q34" s="41">
        <v>0.7565969062784349</v>
      </c>
      <c r="R34" s="41">
        <v>0.74638912489379783</v>
      </c>
      <c r="S34" s="41">
        <v>0.74354243542435428</v>
      </c>
      <c r="T34" s="89">
        <f t="shared" si="3"/>
        <v>2.3570864706514927</v>
      </c>
      <c r="U34" s="89">
        <f t="shared" si="4"/>
        <v>5.7065260575086434</v>
      </c>
      <c r="V34" s="89">
        <f t="shared" si="5"/>
        <v>-0.28466894694435529</v>
      </c>
    </row>
    <row r="35" spans="1:22" x14ac:dyDescent="0.25">
      <c r="A35" s="84" t="s">
        <v>3</v>
      </c>
      <c r="B35" s="41">
        <v>0.60580258593503622</v>
      </c>
      <c r="C35" s="41">
        <v>0.65891940839118623</v>
      </c>
      <c r="D35" s="41">
        <v>0.67395529640427598</v>
      </c>
      <c r="E35" s="41">
        <v>0.69200415368639667</v>
      </c>
      <c r="F35" s="41">
        <v>0.67403114813473375</v>
      </c>
      <c r="G35" s="41">
        <v>0.6847133757961783</v>
      </c>
      <c r="H35" s="41">
        <v>0.70162613755035064</v>
      </c>
      <c r="I35" s="41">
        <v>0.72762704242242537</v>
      </c>
      <c r="J35" s="41">
        <v>0.72284397630019748</v>
      </c>
      <c r="K35" s="41">
        <v>0.72582304526748975</v>
      </c>
      <c r="L35" s="41">
        <v>0.75645692494366445</v>
      </c>
      <c r="M35" s="41">
        <v>0.76618391205723257</v>
      </c>
      <c r="N35" s="41">
        <v>0.75415047686329917</v>
      </c>
      <c r="O35" s="41">
        <v>0.71207489491784481</v>
      </c>
      <c r="P35" s="41">
        <v>0.73128074330479143</v>
      </c>
      <c r="Q35" s="41">
        <v>0.76127850840685862</v>
      </c>
      <c r="R35" s="41">
        <v>0.76349182082250422</v>
      </c>
      <c r="S35" s="41">
        <v>0.76441917140536153</v>
      </c>
      <c r="T35" s="89">
        <f t="shared" si="3"/>
        <v>4.1575195105164049</v>
      </c>
      <c r="U35" s="89">
        <f t="shared" si="4"/>
        <v>5.2344276487516712</v>
      </c>
      <c r="V35" s="89">
        <f t="shared" si="5"/>
        <v>9.2735058285731142E-2</v>
      </c>
    </row>
    <row r="36" spans="1:22" x14ac:dyDescent="0.25">
      <c r="A36" s="84" t="s">
        <v>4</v>
      </c>
      <c r="B36" s="41">
        <v>0.75040676863000322</v>
      </c>
      <c r="C36" s="41">
        <v>0.75523515276347408</v>
      </c>
      <c r="D36" s="41">
        <v>0.78263604907203521</v>
      </c>
      <c r="E36" s="41">
        <v>0.78692098092643048</v>
      </c>
      <c r="F36" s="41">
        <v>0.73366182572614103</v>
      </c>
      <c r="G36" s="41">
        <v>0.7098214285714286</v>
      </c>
      <c r="H36" s="41">
        <v>0.72452527413746992</v>
      </c>
      <c r="I36" s="41">
        <v>0.73227867356251897</v>
      </c>
      <c r="J36" s="41">
        <v>0.7551472917326576</v>
      </c>
      <c r="K36" s="41">
        <v>0.74657334499854189</v>
      </c>
      <c r="L36" s="41">
        <v>0.74799311926605505</v>
      </c>
      <c r="M36" s="41">
        <v>0.75581756127831212</v>
      </c>
      <c r="N36" s="41">
        <v>0.76081342801807617</v>
      </c>
      <c r="O36" s="41">
        <v>0.78949288580809929</v>
      </c>
      <c r="P36" s="41">
        <v>0.80476013387876533</v>
      </c>
      <c r="Q36" s="41">
        <v>0.75536782822949666</v>
      </c>
      <c r="R36" s="41">
        <v>0.76344410876132929</v>
      </c>
      <c r="S36" s="41">
        <v>0.79844961240310075</v>
      </c>
      <c r="T36" s="89">
        <f t="shared" si="3"/>
        <v>4.3302320670443155</v>
      </c>
      <c r="U36" s="89">
        <f t="shared" si="4"/>
        <v>0.8956726595001463</v>
      </c>
      <c r="V36" s="89">
        <f t="shared" si="5"/>
        <v>3.5005503641771463</v>
      </c>
    </row>
    <row r="37" spans="1:22" x14ac:dyDescent="0.25">
      <c r="A37" s="17" t="s">
        <v>224</v>
      </c>
      <c r="B37" s="61">
        <v>0.55906103286384978</v>
      </c>
      <c r="C37" s="61">
        <v>0.58874494766297025</v>
      </c>
      <c r="D37" s="61">
        <v>0.60861010205846744</v>
      </c>
      <c r="E37" s="61">
        <v>0.62170678686105185</v>
      </c>
      <c r="F37" s="61">
        <v>0.60587818696883855</v>
      </c>
      <c r="G37" s="61">
        <v>0.60497237569060769</v>
      </c>
      <c r="H37" s="61">
        <v>0.61652873295255861</v>
      </c>
      <c r="I37" s="61">
        <v>0.61609876785145634</v>
      </c>
      <c r="J37" s="61">
        <v>0.6298339553247877</v>
      </c>
      <c r="K37" s="61">
        <v>0.63877581340068346</v>
      </c>
      <c r="L37" s="61">
        <v>0.63527251262543449</v>
      </c>
      <c r="M37" s="61">
        <v>0.65395494001755583</v>
      </c>
      <c r="N37" s="61">
        <v>0.63585772235073246</v>
      </c>
      <c r="O37" s="61">
        <v>0.67187564939113087</v>
      </c>
      <c r="P37" s="61">
        <v>0.68624126237109839</v>
      </c>
      <c r="Q37" s="61">
        <v>0.67736028453709896</v>
      </c>
      <c r="R37" s="61">
        <v>0.67546103109435995</v>
      </c>
      <c r="S37" s="61">
        <v>0.68139131572919731</v>
      </c>
      <c r="T37" s="90">
        <f t="shared" si="3"/>
        <v>5.1557360404409618</v>
      </c>
      <c r="U37" s="90">
        <f t="shared" si="4"/>
        <v>0.95156663380664419</v>
      </c>
      <c r="V37" s="90">
        <f t="shared" si="5"/>
        <v>0.59302846348373572</v>
      </c>
    </row>
    <row r="38" spans="1:22" x14ac:dyDescent="0.25">
      <c r="A38" s="84" t="s">
        <v>2</v>
      </c>
      <c r="B38" s="41">
        <v>0.54060756354618722</v>
      </c>
      <c r="C38" s="41">
        <v>0.57374468754918939</v>
      </c>
      <c r="D38" s="41">
        <v>0.63428285022136832</v>
      </c>
      <c r="E38" s="41">
        <v>0.60942632342830949</v>
      </c>
      <c r="F38" s="41">
        <v>0.58128701144887485</v>
      </c>
      <c r="G38" s="41">
        <v>0.60137307725732159</v>
      </c>
      <c r="H38" s="41">
        <v>0.60891647855530473</v>
      </c>
      <c r="I38" s="41">
        <v>0.59770673403945196</v>
      </c>
      <c r="J38" s="41">
        <v>0.61502294861748574</v>
      </c>
      <c r="K38" s="41">
        <v>0.62729312392767589</v>
      </c>
      <c r="L38" s="41">
        <v>0.63303303303303304</v>
      </c>
      <c r="M38" s="41">
        <v>0.66712685994784471</v>
      </c>
      <c r="N38" s="41">
        <v>0.64119190983480001</v>
      </c>
      <c r="O38" s="41">
        <v>0.6673390794058317</v>
      </c>
      <c r="P38" s="41">
        <v>0.66281544542414106</v>
      </c>
      <c r="Q38" s="41">
        <v>0.6797752808988764</v>
      </c>
      <c r="R38" s="41">
        <v>0.66650222002960036</v>
      </c>
      <c r="S38" s="41">
        <v>0.67123471718393124</v>
      </c>
      <c r="T38" s="89">
        <f t="shared" si="3"/>
        <v>5.6211768566445492</v>
      </c>
      <c r="U38" s="89">
        <f t="shared" si="4"/>
        <v>0.38956377780995366</v>
      </c>
      <c r="V38" s="89">
        <f t="shared" si="5"/>
        <v>0.47324971543308836</v>
      </c>
    </row>
    <row r="39" spans="1:22" x14ac:dyDescent="0.25">
      <c r="A39" s="84" t="s">
        <v>3</v>
      </c>
      <c r="B39" s="41">
        <v>0.53483375959079282</v>
      </c>
      <c r="C39" s="41">
        <v>0.59550958034559776</v>
      </c>
      <c r="D39" s="41">
        <v>0.59841021047917597</v>
      </c>
      <c r="E39" s="41">
        <v>0.59874499728247443</v>
      </c>
      <c r="F39" s="41">
        <v>0.61778416980757789</v>
      </c>
      <c r="G39" s="41">
        <v>0.60742718686643915</v>
      </c>
      <c r="H39" s="41">
        <v>0.62385714285714289</v>
      </c>
      <c r="I39" s="41">
        <v>0.63159891855997718</v>
      </c>
      <c r="J39" s="41">
        <v>0.63820453965825041</v>
      </c>
      <c r="K39" s="41">
        <v>0.64454540537616967</v>
      </c>
      <c r="L39" s="41">
        <v>0.64234190911276745</v>
      </c>
      <c r="M39" s="41">
        <v>0.66207013001632242</v>
      </c>
      <c r="N39" s="41">
        <v>0.64110359068486866</v>
      </c>
      <c r="O39" s="41">
        <v>0.66355734577061687</v>
      </c>
      <c r="P39" s="41">
        <v>0.69060868567494693</v>
      </c>
      <c r="Q39" s="41">
        <v>0.67854011398509428</v>
      </c>
      <c r="R39" s="41">
        <v>0.67197501152132721</v>
      </c>
      <c r="S39" s="41">
        <v>0.67963697058209893</v>
      </c>
      <c r="T39" s="89">
        <f t="shared" si="3"/>
        <v>4.1432430923848518</v>
      </c>
      <c r="U39" s="89">
        <f t="shared" si="4"/>
        <v>1.6079624811482063</v>
      </c>
      <c r="V39" s="89">
        <f t="shared" si="5"/>
        <v>0.7661959060771717</v>
      </c>
    </row>
    <row r="40" spans="1:22" x14ac:dyDescent="0.25">
      <c r="A40" s="84" t="s">
        <v>4</v>
      </c>
      <c r="B40" s="41">
        <v>0.59328717060973268</v>
      </c>
      <c r="C40" s="41">
        <v>0.59282051282051285</v>
      </c>
      <c r="D40" s="41">
        <v>0.60098702248217872</v>
      </c>
      <c r="E40" s="41">
        <v>0.65891380643626196</v>
      </c>
      <c r="F40" s="41">
        <v>0.61058040714144546</v>
      </c>
      <c r="G40" s="41">
        <v>0.60436390532544382</v>
      </c>
      <c r="H40" s="41">
        <v>0.61005060818609602</v>
      </c>
      <c r="I40" s="41">
        <v>0.60154513705153989</v>
      </c>
      <c r="J40" s="41">
        <v>0.62606635071090044</v>
      </c>
      <c r="K40" s="41">
        <v>0.6361839504546053</v>
      </c>
      <c r="L40" s="41">
        <v>0.62100583495415396</v>
      </c>
      <c r="M40" s="41">
        <v>0.61841495442607752</v>
      </c>
      <c r="N40" s="41">
        <v>0.6145657316661034</v>
      </c>
      <c r="O40" s="41">
        <v>0.70383666143145618</v>
      </c>
      <c r="P40" s="41">
        <v>0.7021885866230313</v>
      </c>
      <c r="Q40" s="41">
        <v>0.66900584795321638</v>
      </c>
      <c r="R40" s="41">
        <v>0.70530930345835363</v>
      </c>
      <c r="S40" s="41">
        <v>0.70907247845919918</v>
      </c>
      <c r="T40" s="89">
        <f t="shared" si="3"/>
        <v>8.3006127748298741</v>
      </c>
      <c r="U40" s="89">
        <f t="shared" si="4"/>
        <v>0.52358170277430061</v>
      </c>
      <c r="V40" s="89">
        <f t="shared" si="5"/>
        <v>0.37631750008455533</v>
      </c>
    </row>
    <row r="41" spans="1:22" x14ac:dyDescent="0.25">
      <c r="A41" s="81" t="s">
        <v>96</v>
      </c>
      <c r="B41" s="40">
        <v>0.66658579105335991</v>
      </c>
      <c r="C41" s="40">
        <v>0.6912781111500006</v>
      </c>
      <c r="D41" s="40">
        <v>0.70922233792689326</v>
      </c>
      <c r="E41" s="40">
        <v>0.7113320616485761</v>
      </c>
      <c r="F41" s="40">
        <v>0.6846562721474132</v>
      </c>
      <c r="G41" s="40">
        <v>0.68973220651564271</v>
      </c>
      <c r="H41" s="40">
        <v>0.69461321726761271</v>
      </c>
      <c r="I41" s="40">
        <v>0.7024570399536062</v>
      </c>
      <c r="J41" s="40">
        <v>0.71157616916382926</v>
      </c>
      <c r="K41" s="40">
        <v>0.72363000835048441</v>
      </c>
      <c r="L41" s="40">
        <v>0.73983376445526472</v>
      </c>
      <c r="M41" s="40">
        <v>0.74877261002307971</v>
      </c>
      <c r="N41" s="40">
        <v>0.73562169704699432</v>
      </c>
      <c r="O41" s="40">
        <v>0.75559151532642077</v>
      </c>
      <c r="P41" s="40">
        <v>0.75558506614668253</v>
      </c>
      <c r="Q41" s="40">
        <v>0.75949903510144479</v>
      </c>
      <c r="R41" s="40">
        <v>0.76487132988940454</v>
      </c>
      <c r="S41" s="40">
        <v>0.77306330481553465</v>
      </c>
      <c r="T41" s="90">
        <f t="shared" si="3"/>
        <v>6.1487135651705387</v>
      </c>
      <c r="U41" s="90">
        <f t="shared" si="4"/>
        <v>1.7471789489113876</v>
      </c>
      <c r="V41" s="90">
        <f t="shared" si="5"/>
        <v>0.81919749261301078</v>
      </c>
    </row>
    <row r="42" spans="1:22" x14ac:dyDescent="0.25">
      <c r="A42" s="117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4"/>
      <c r="U42" s="114"/>
      <c r="V42" s="114"/>
    </row>
    <row r="43" spans="1:22" ht="18" x14ac:dyDescent="0.25">
      <c r="A43" s="11" t="s">
        <v>277</v>
      </c>
      <c r="B43" s="11"/>
      <c r="C43" s="11"/>
      <c r="D43" s="11"/>
      <c r="E43" s="11"/>
      <c r="F43" s="11"/>
      <c r="G43" s="1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3"/>
    </row>
    <row r="44" spans="1:22" ht="45" customHeight="1" x14ac:dyDescent="0.25">
      <c r="A44" s="14" t="s">
        <v>97</v>
      </c>
      <c r="B44" s="38">
        <v>2007</v>
      </c>
      <c r="C44" s="38">
        <v>2008</v>
      </c>
      <c r="D44" s="38">
        <v>2009</v>
      </c>
      <c r="E44" s="38">
        <v>2010</v>
      </c>
      <c r="F44" s="38">
        <v>2011</v>
      </c>
      <c r="G44" s="38">
        <v>2012</v>
      </c>
      <c r="H44" s="38">
        <v>2013</v>
      </c>
      <c r="I44" s="38">
        <v>2014</v>
      </c>
      <c r="J44" s="38">
        <v>2015</v>
      </c>
      <c r="K44" s="38">
        <v>2016</v>
      </c>
      <c r="L44" s="38">
        <v>2017</v>
      </c>
      <c r="M44" s="38">
        <v>2018</v>
      </c>
      <c r="N44" s="38">
        <v>2019</v>
      </c>
      <c r="O44" s="38">
        <v>2020</v>
      </c>
      <c r="P44" s="38">
        <v>2021</v>
      </c>
      <c r="Q44" s="38">
        <v>2022</v>
      </c>
      <c r="R44" s="38">
        <v>2023</v>
      </c>
      <c r="S44" s="38">
        <v>2024</v>
      </c>
      <c r="T44" s="39" t="s">
        <v>373</v>
      </c>
      <c r="U44" s="39" t="s">
        <v>374</v>
      </c>
      <c r="V44" s="39" t="s">
        <v>375</v>
      </c>
    </row>
    <row r="45" spans="1:22" x14ac:dyDescent="0.25">
      <c r="A45" s="81" t="s">
        <v>80</v>
      </c>
      <c r="B45" s="40">
        <v>0.66968879771023937</v>
      </c>
      <c r="C45" s="40">
        <v>0.6948989270259055</v>
      </c>
      <c r="D45" s="40">
        <v>0.70451363254499633</v>
      </c>
      <c r="E45" s="40">
        <v>0.70121807993020369</v>
      </c>
      <c r="F45" s="40">
        <v>0.67551007583057521</v>
      </c>
      <c r="G45" s="40">
        <v>0.67767360559351664</v>
      </c>
      <c r="H45" s="40">
        <v>0.67957983615620443</v>
      </c>
      <c r="I45" s="40">
        <v>0.68544851589852052</v>
      </c>
      <c r="J45" s="40">
        <v>0.69361909906914898</v>
      </c>
      <c r="K45" s="40">
        <v>0.70625147634257313</v>
      </c>
      <c r="L45" s="40">
        <v>0.71991073999424127</v>
      </c>
      <c r="M45" s="40">
        <v>0.73015712625675744</v>
      </c>
      <c r="N45" s="40">
        <v>0.71603477545141214</v>
      </c>
      <c r="O45" s="40">
        <v>0.72303163241745561</v>
      </c>
      <c r="P45" s="40">
        <v>0.7302477477477477</v>
      </c>
      <c r="Q45" s="40">
        <v>0.73891040651669682</v>
      </c>
      <c r="R45" s="61">
        <v>0.74271400699130152</v>
      </c>
      <c r="S45" s="61">
        <v>0.75416245706203278</v>
      </c>
      <c r="T45" s="90">
        <f t="shared" ref="T45:T63" si="6">(S45-J45)*100</f>
        <v>6.0543357992883795</v>
      </c>
      <c r="U45" s="90">
        <f t="shared" ref="U45:U63" si="7">(S45-O45)*100</f>
        <v>3.1130824644577171</v>
      </c>
      <c r="V45" s="90">
        <f t="shared" ref="V45:V63" si="8">(S45-R45)*100</f>
        <v>1.1448450070731253</v>
      </c>
    </row>
    <row r="46" spans="1:22" x14ac:dyDescent="0.25">
      <c r="A46" s="84" t="s">
        <v>59</v>
      </c>
      <c r="B46" s="41">
        <v>0.72508887760284413</v>
      </c>
      <c r="C46" s="41">
        <v>0.73160722280256674</v>
      </c>
      <c r="D46" s="41">
        <v>0.73950628488451242</v>
      </c>
      <c r="E46" s="41">
        <v>0.74796613327261063</v>
      </c>
      <c r="F46" s="41">
        <v>0.71843052261388729</v>
      </c>
      <c r="G46" s="41">
        <v>0.72162759840778412</v>
      </c>
      <c r="H46" s="41">
        <v>0.72062577011089601</v>
      </c>
      <c r="I46" s="41">
        <v>0.73292931162102148</v>
      </c>
      <c r="J46" s="41">
        <v>0.74184182743065552</v>
      </c>
      <c r="K46" s="41">
        <v>0.74525609115612079</v>
      </c>
      <c r="L46" s="41">
        <v>0.75644122383252821</v>
      </c>
      <c r="M46" s="41">
        <v>0.76781345400220846</v>
      </c>
      <c r="N46" s="41">
        <v>0.76788498181188292</v>
      </c>
      <c r="O46" s="41">
        <v>0.80317793077161304</v>
      </c>
      <c r="P46" s="41">
        <v>0.78286720482974681</v>
      </c>
      <c r="Q46" s="41">
        <v>0.78405300640043274</v>
      </c>
      <c r="R46" s="41">
        <v>0.78609050017300375</v>
      </c>
      <c r="S46" s="41">
        <v>0.79896801594545763</v>
      </c>
      <c r="T46" s="89">
        <f t="shared" si="6"/>
        <v>5.7126188514802116</v>
      </c>
      <c r="U46" s="89">
        <f t="shared" si="7"/>
        <v>-0.42099148261554031</v>
      </c>
      <c r="V46" s="89">
        <f t="shared" si="8"/>
        <v>1.2877515772453885</v>
      </c>
    </row>
    <row r="47" spans="1:22" x14ac:dyDescent="0.25">
      <c r="A47" s="84" t="s">
        <v>58</v>
      </c>
      <c r="B47" s="41">
        <v>0.5661111902388074</v>
      </c>
      <c r="C47" s="41">
        <v>0.64077741107444075</v>
      </c>
      <c r="D47" s="41">
        <v>0.65979471120389699</v>
      </c>
      <c r="E47" s="41">
        <v>0.64626727662059569</v>
      </c>
      <c r="F47" s="41">
        <v>0.63043291530664836</v>
      </c>
      <c r="G47" s="41">
        <v>0.63725470259278083</v>
      </c>
      <c r="H47" s="41">
        <v>0.64505801580398614</v>
      </c>
      <c r="I47" s="41">
        <v>0.64755293813576531</v>
      </c>
      <c r="J47" s="41">
        <v>0.65679736167094172</v>
      </c>
      <c r="K47" s="41">
        <v>0.67436912050171716</v>
      </c>
      <c r="L47" s="41">
        <v>0.68881824411787096</v>
      </c>
      <c r="M47" s="41">
        <v>0.69720338019629391</v>
      </c>
      <c r="N47" s="41">
        <v>0.6690909803767815</v>
      </c>
      <c r="O47" s="41">
        <v>0.64767152745111212</v>
      </c>
      <c r="P47" s="41">
        <v>0.67919504781344986</v>
      </c>
      <c r="Q47" s="41">
        <v>0.69511315185306655</v>
      </c>
      <c r="R47" s="41">
        <v>0.69406717544086582</v>
      </c>
      <c r="S47" s="41">
        <v>0.70106188047773588</v>
      </c>
      <c r="T47" s="89">
        <f t="shared" si="6"/>
        <v>4.4264518806794158</v>
      </c>
      <c r="U47" s="89">
        <f t="shared" si="7"/>
        <v>5.339035302662376</v>
      </c>
      <c r="V47" s="89">
        <f t="shared" si="8"/>
        <v>0.69947050368700525</v>
      </c>
    </row>
    <row r="48" spans="1:22" x14ac:dyDescent="0.25">
      <c r="A48" s="81" t="s">
        <v>342</v>
      </c>
      <c r="B48" s="18" t="s">
        <v>62</v>
      </c>
      <c r="C48" s="18" t="s">
        <v>62</v>
      </c>
      <c r="D48" s="18" t="s">
        <v>62</v>
      </c>
      <c r="E48" s="18" t="s">
        <v>62</v>
      </c>
      <c r="F48" s="18" t="s">
        <v>62</v>
      </c>
      <c r="G48" s="18" t="s">
        <v>62</v>
      </c>
      <c r="H48" s="18" t="s">
        <v>62</v>
      </c>
      <c r="I48" s="18" t="s">
        <v>62</v>
      </c>
      <c r="J48" s="18" t="s">
        <v>62</v>
      </c>
      <c r="K48" s="18" t="s">
        <v>62</v>
      </c>
      <c r="L48" s="18" t="s">
        <v>62</v>
      </c>
      <c r="M48" s="18" t="s">
        <v>62</v>
      </c>
      <c r="N48" s="18">
        <v>0.67178502879078694</v>
      </c>
      <c r="O48" s="18">
        <v>0.68346545866364661</v>
      </c>
      <c r="P48" s="18">
        <v>0.74596868427202623</v>
      </c>
      <c r="Q48" s="18">
        <v>0.7416628942206126</v>
      </c>
      <c r="R48" s="18">
        <v>0.74618473895582327</v>
      </c>
      <c r="S48" s="18">
        <v>0.74612279583598895</v>
      </c>
      <c r="T48" s="90" t="s">
        <v>62</v>
      </c>
      <c r="U48" s="90">
        <f t="shared" si="7"/>
        <v>6.2657337172342338</v>
      </c>
      <c r="V48" s="90">
        <f t="shared" si="8"/>
        <v>-6.1943119834317883E-3</v>
      </c>
    </row>
    <row r="49" spans="1:22" x14ac:dyDescent="0.25">
      <c r="A49" s="84" t="s">
        <v>59</v>
      </c>
      <c r="B49" s="16" t="s">
        <v>62</v>
      </c>
      <c r="C49" s="16" t="s">
        <v>62</v>
      </c>
      <c r="D49" s="16" t="s">
        <v>62</v>
      </c>
      <c r="E49" s="16" t="s">
        <v>62</v>
      </c>
      <c r="F49" s="16" t="s">
        <v>62</v>
      </c>
      <c r="G49" s="16" t="s">
        <v>62</v>
      </c>
      <c r="H49" s="16" t="s">
        <v>62</v>
      </c>
      <c r="I49" s="16" t="s">
        <v>62</v>
      </c>
      <c r="J49" s="16" t="s">
        <v>62</v>
      </c>
      <c r="K49" s="16" t="s">
        <v>62</v>
      </c>
      <c r="L49" s="16" t="s">
        <v>62</v>
      </c>
      <c r="M49" s="16" t="s">
        <v>62</v>
      </c>
      <c r="N49" s="16">
        <v>0.6985507246376812</v>
      </c>
      <c r="O49" s="16">
        <v>0.79030501089324623</v>
      </c>
      <c r="P49" s="16">
        <v>0.79404255319148931</v>
      </c>
      <c r="Q49" s="16">
        <v>0.78521617852161785</v>
      </c>
      <c r="R49" s="16">
        <v>0.79322170667742586</v>
      </c>
      <c r="S49" s="16">
        <v>0.79319955406911924</v>
      </c>
      <c r="T49" s="89" t="s">
        <v>62</v>
      </c>
      <c r="U49" s="89">
        <f t="shared" si="7"/>
        <v>0.289454317587301</v>
      </c>
      <c r="V49" s="89">
        <f t="shared" si="8"/>
        <v>-2.2152608306624799E-3</v>
      </c>
    </row>
    <row r="50" spans="1:22" x14ac:dyDescent="0.25">
      <c r="A50" s="84" t="s">
        <v>58</v>
      </c>
      <c r="B50" s="16" t="s">
        <v>62</v>
      </c>
      <c r="C50" s="16" t="s">
        <v>62</v>
      </c>
      <c r="D50" s="16" t="s">
        <v>62</v>
      </c>
      <c r="E50" s="16" t="s">
        <v>62</v>
      </c>
      <c r="F50" s="16" t="s">
        <v>62</v>
      </c>
      <c r="G50" s="16" t="s">
        <v>62</v>
      </c>
      <c r="H50" s="16" t="s">
        <v>62</v>
      </c>
      <c r="I50" s="16" t="s">
        <v>62</v>
      </c>
      <c r="J50" s="16" t="s">
        <v>62</v>
      </c>
      <c r="K50" s="16" t="s">
        <v>62</v>
      </c>
      <c r="L50" s="16" t="s">
        <v>62</v>
      </c>
      <c r="M50" s="16" t="s">
        <v>62</v>
      </c>
      <c r="N50" s="16">
        <v>0.65063001145475374</v>
      </c>
      <c r="O50" s="16">
        <v>0.56780660377358494</v>
      </c>
      <c r="P50" s="16">
        <v>0.68740279937791604</v>
      </c>
      <c r="Q50" s="16">
        <v>0.69033530571992108</v>
      </c>
      <c r="R50" s="16">
        <v>0.68414050026609896</v>
      </c>
      <c r="S50" s="16">
        <v>0.68328373015873012</v>
      </c>
      <c r="T50" s="89" t="s">
        <v>62</v>
      </c>
      <c r="U50" s="89">
        <f t="shared" si="7"/>
        <v>11.547712638514518</v>
      </c>
      <c r="V50" s="89">
        <f t="shared" si="8"/>
        <v>-8.5677010736884274E-2</v>
      </c>
    </row>
    <row r="51" spans="1:22" x14ac:dyDescent="0.25">
      <c r="A51" s="81" t="s">
        <v>115</v>
      </c>
      <c r="B51" s="40">
        <v>0.69907401542885372</v>
      </c>
      <c r="C51" s="40">
        <v>0.71675361802952264</v>
      </c>
      <c r="D51" s="40">
        <v>0.7346494161713838</v>
      </c>
      <c r="E51" s="40">
        <v>0.7351957915447398</v>
      </c>
      <c r="F51" s="40">
        <v>0.70264572328792507</v>
      </c>
      <c r="G51" s="40">
        <v>0.70787595050814933</v>
      </c>
      <c r="H51" s="40">
        <v>0.71116991091146531</v>
      </c>
      <c r="I51" s="40">
        <v>0.7205025844717714</v>
      </c>
      <c r="J51" s="40">
        <v>0.73008300286517569</v>
      </c>
      <c r="K51" s="40">
        <v>0.74292747785105906</v>
      </c>
      <c r="L51" s="40">
        <v>0.76295899939803358</v>
      </c>
      <c r="M51" s="40">
        <v>0.77005876729088807</v>
      </c>
      <c r="N51" s="40">
        <v>0.75701736739757264</v>
      </c>
      <c r="O51" s="40">
        <v>0.77565707807443651</v>
      </c>
      <c r="P51" s="40">
        <v>0.77361319340329837</v>
      </c>
      <c r="Q51" s="40">
        <v>0.777682379850126</v>
      </c>
      <c r="R51" s="40">
        <v>0.78411168148240895</v>
      </c>
      <c r="S51" s="40">
        <v>0.79069510239442586</v>
      </c>
      <c r="T51" s="90">
        <f t="shared" si="6"/>
        <v>6.061209952925017</v>
      </c>
      <c r="U51" s="90">
        <f t="shared" si="7"/>
        <v>1.5038024319989352</v>
      </c>
      <c r="V51" s="90">
        <f t="shared" si="8"/>
        <v>0.65834209120169129</v>
      </c>
    </row>
    <row r="52" spans="1:22" x14ac:dyDescent="0.25">
      <c r="A52" s="84" t="s">
        <v>59</v>
      </c>
      <c r="B52" s="41">
        <v>0.74220563704837406</v>
      </c>
      <c r="C52" s="41">
        <v>0.74606075885541412</v>
      </c>
      <c r="D52" s="41">
        <v>0.76494097305877184</v>
      </c>
      <c r="E52" s="41">
        <v>0.77707729807680037</v>
      </c>
      <c r="F52" s="41">
        <v>0.74353153680921691</v>
      </c>
      <c r="G52" s="41">
        <v>0.75056692020598104</v>
      </c>
      <c r="H52" s="41">
        <v>0.75214919739999531</v>
      </c>
      <c r="I52" s="41">
        <v>0.76664667066586678</v>
      </c>
      <c r="J52" s="41">
        <v>0.77691313092615655</v>
      </c>
      <c r="K52" s="41">
        <v>0.78711739481556464</v>
      </c>
      <c r="L52" s="41">
        <v>0.80306445891359324</v>
      </c>
      <c r="M52" s="41">
        <v>0.80582252391513765</v>
      </c>
      <c r="N52" s="41">
        <v>0.80623026543340737</v>
      </c>
      <c r="O52" s="41">
        <v>0.83966667054619937</v>
      </c>
      <c r="P52" s="41">
        <v>0.82407720764140924</v>
      </c>
      <c r="Q52" s="41">
        <v>0.81920254619397048</v>
      </c>
      <c r="R52" s="41">
        <v>0.82462539716060168</v>
      </c>
      <c r="S52" s="41">
        <v>0.83062024824728542</v>
      </c>
      <c r="T52" s="89">
        <f t="shared" si="6"/>
        <v>5.3707117321128877</v>
      </c>
      <c r="U52" s="89">
        <f t="shared" si="7"/>
        <v>-0.90464222989139476</v>
      </c>
      <c r="V52" s="89">
        <f t="shared" si="8"/>
        <v>0.5994851086683739</v>
      </c>
    </row>
    <row r="53" spans="1:22" x14ac:dyDescent="0.25">
      <c r="A53" s="84" t="s">
        <v>58</v>
      </c>
      <c r="B53" s="41">
        <v>0.57844363216621775</v>
      </c>
      <c r="C53" s="41">
        <v>0.64638898346763518</v>
      </c>
      <c r="D53" s="41">
        <v>0.67195612002463845</v>
      </c>
      <c r="E53" s="41">
        <v>0.65628756912719399</v>
      </c>
      <c r="F53" s="41">
        <v>0.63220203549499543</v>
      </c>
      <c r="G53" s="41">
        <v>0.63953488372093026</v>
      </c>
      <c r="H53" s="41">
        <v>0.65293893698376182</v>
      </c>
      <c r="I53" s="41">
        <v>0.65970866263753292</v>
      </c>
      <c r="J53" s="41">
        <v>0.67036624276750678</v>
      </c>
      <c r="K53" s="41">
        <v>0.68223218609882985</v>
      </c>
      <c r="L53" s="41">
        <v>0.7065404613576729</v>
      </c>
      <c r="M53" s="41">
        <v>0.7171097364798753</v>
      </c>
      <c r="N53" s="41">
        <v>0.6828899383224375</v>
      </c>
      <c r="O53" s="41">
        <v>0.67275380758148406</v>
      </c>
      <c r="P53" s="41">
        <v>0.69310396187071788</v>
      </c>
      <c r="Q53" s="41">
        <v>0.70949710531569299</v>
      </c>
      <c r="R53" s="41">
        <v>0.70815110775156132</v>
      </c>
      <c r="S53" s="41">
        <v>0.71168664775327173</v>
      </c>
      <c r="T53" s="89">
        <f t="shared" si="6"/>
        <v>4.1320404985764947</v>
      </c>
      <c r="U53" s="89">
        <f t="shared" si="7"/>
        <v>3.8932840171787664</v>
      </c>
      <c r="V53" s="89">
        <f t="shared" si="8"/>
        <v>0.35355400017104133</v>
      </c>
    </row>
    <row r="54" spans="1:22" x14ac:dyDescent="0.25">
      <c r="A54" s="81" t="s">
        <v>81</v>
      </c>
      <c r="B54" s="40">
        <v>0.79869953942021132</v>
      </c>
      <c r="C54" s="40">
        <v>0.79283261802575111</v>
      </c>
      <c r="D54" s="40">
        <v>0.80230910303434477</v>
      </c>
      <c r="E54" s="40">
        <v>0.80605703048180921</v>
      </c>
      <c r="F54" s="40">
        <v>0.77388610912556588</v>
      </c>
      <c r="G54" s="40">
        <v>0.78257540958505589</v>
      </c>
      <c r="H54" s="40">
        <v>0.77830206204718555</v>
      </c>
      <c r="I54" s="40">
        <v>0.78694489826229019</v>
      </c>
      <c r="J54" s="40">
        <v>0.77692136663455125</v>
      </c>
      <c r="K54" s="40">
        <v>0.77946350043975376</v>
      </c>
      <c r="L54" s="40">
        <v>0.79899632240269691</v>
      </c>
      <c r="M54" s="40">
        <v>0.80395266089108908</v>
      </c>
      <c r="N54" s="40">
        <v>0.79636877582083065</v>
      </c>
      <c r="O54" s="40">
        <v>0.8507852440325131</v>
      </c>
      <c r="P54" s="40">
        <v>0.82861261542057896</v>
      </c>
      <c r="Q54" s="40">
        <v>0.82613390928725705</v>
      </c>
      <c r="R54" s="40">
        <v>0.8397629473048468</v>
      </c>
      <c r="S54" s="40">
        <v>0.85246584156542149</v>
      </c>
      <c r="T54" s="90">
        <f t="shared" si="6"/>
        <v>7.5544474930870242</v>
      </c>
      <c r="U54" s="90">
        <f t="shared" si="7"/>
        <v>0.168059753290839</v>
      </c>
      <c r="V54" s="90">
        <f t="shared" si="8"/>
        <v>1.2702894260574693</v>
      </c>
    </row>
    <row r="55" spans="1:22" x14ac:dyDescent="0.25">
      <c r="A55" s="84" t="s">
        <v>59</v>
      </c>
      <c r="B55" s="41">
        <v>0.8113916730917502</v>
      </c>
      <c r="C55" s="41">
        <v>0.80186298352682051</v>
      </c>
      <c r="D55" s="41">
        <v>0.81434844954292884</v>
      </c>
      <c r="E55" s="41">
        <v>0.82130334388095438</v>
      </c>
      <c r="F55" s="41">
        <v>0.79007816935237352</v>
      </c>
      <c r="G55" s="41">
        <v>0.80103622542149744</v>
      </c>
      <c r="H55" s="41">
        <v>0.79661016949152541</v>
      </c>
      <c r="I55" s="41">
        <v>0.80763028348327959</v>
      </c>
      <c r="J55" s="41">
        <v>0.79755226925038247</v>
      </c>
      <c r="K55" s="41">
        <v>0.80186254266571155</v>
      </c>
      <c r="L55" s="41">
        <v>0.81939255417344292</v>
      </c>
      <c r="M55" s="41">
        <v>0.81990667371016024</v>
      </c>
      <c r="N55" s="41">
        <v>0.81678603770478309</v>
      </c>
      <c r="O55" s="41">
        <v>0.87185628742514965</v>
      </c>
      <c r="P55" s="41">
        <v>0.84639016897081409</v>
      </c>
      <c r="Q55" s="41">
        <v>0.84178353110391946</v>
      </c>
      <c r="R55" s="41">
        <v>0.85414906202467467</v>
      </c>
      <c r="S55" s="41">
        <v>0.86646721725939657</v>
      </c>
      <c r="T55" s="89">
        <f t="shared" si="6"/>
        <v>6.8914948009014099</v>
      </c>
      <c r="U55" s="89">
        <f t="shared" si="7"/>
        <v>-0.53890701657530737</v>
      </c>
      <c r="V55" s="89">
        <f t="shared" si="8"/>
        <v>1.2318155234721906</v>
      </c>
    </row>
    <row r="56" spans="1:22" x14ac:dyDescent="0.25">
      <c r="A56" s="84" t="s">
        <v>58</v>
      </c>
      <c r="B56" s="41">
        <v>0.6097560975609756</v>
      </c>
      <c r="C56" s="41">
        <v>0.66224286662242871</v>
      </c>
      <c r="D56" s="41">
        <v>0.64200477326968974</v>
      </c>
      <c r="E56" s="41">
        <v>0.63119176066699367</v>
      </c>
      <c r="F56" s="41">
        <v>0.61147612790188344</v>
      </c>
      <c r="G56" s="41">
        <v>0.61389212262320525</v>
      </c>
      <c r="H56" s="41">
        <v>0.63657031503734984</v>
      </c>
      <c r="I56" s="41">
        <v>0.64222090261282661</v>
      </c>
      <c r="J56" s="41">
        <v>0.63636363636363635</v>
      </c>
      <c r="K56" s="41">
        <v>0.63002530222097275</v>
      </c>
      <c r="L56" s="41">
        <v>0.66060244557113035</v>
      </c>
      <c r="M56" s="41">
        <v>0.68853503184713372</v>
      </c>
      <c r="N56" s="41">
        <v>0.64606060606060611</v>
      </c>
      <c r="O56" s="41">
        <v>0.67921990585070613</v>
      </c>
      <c r="P56" s="41">
        <v>0.68806384455239422</v>
      </c>
      <c r="Q56" s="41">
        <v>0.69970951343500365</v>
      </c>
      <c r="R56" s="41">
        <v>0.71919263456090654</v>
      </c>
      <c r="S56" s="41">
        <v>0.72889550018594274</v>
      </c>
      <c r="T56" s="89">
        <f t="shared" si="6"/>
        <v>9.2531863822306377</v>
      </c>
      <c r="U56" s="89">
        <f t="shared" si="7"/>
        <v>4.967559433523661</v>
      </c>
      <c r="V56" s="89">
        <f t="shared" si="8"/>
        <v>0.97028656250361944</v>
      </c>
    </row>
    <row r="57" spans="1:22" x14ac:dyDescent="0.25">
      <c r="A57" s="81" t="s">
        <v>272</v>
      </c>
      <c r="B57" s="40">
        <v>0.67270624518118738</v>
      </c>
      <c r="C57" s="40">
        <v>0.69687385962778248</v>
      </c>
      <c r="D57" s="40">
        <v>0.72253258845437618</v>
      </c>
      <c r="E57" s="40">
        <v>0.72262126452070585</v>
      </c>
      <c r="F57" s="40">
        <v>0.69107812754852393</v>
      </c>
      <c r="G57" s="40">
        <v>0.69400914136467518</v>
      </c>
      <c r="H57" s="40">
        <v>0.70732069862504643</v>
      </c>
      <c r="I57" s="40">
        <v>0.71853971691546137</v>
      </c>
      <c r="J57" s="40">
        <v>0.73063833319498628</v>
      </c>
      <c r="K57" s="40">
        <v>0.73140600050424409</v>
      </c>
      <c r="L57" s="40">
        <v>0.75008261731658954</v>
      </c>
      <c r="M57" s="40">
        <v>0.76157567380787838</v>
      </c>
      <c r="N57" s="40">
        <v>0.74543707973102791</v>
      </c>
      <c r="O57" s="40">
        <v>0.72691075070408862</v>
      </c>
      <c r="P57" s="40">
        <v>0.74668205424120027</v>
      </c>
      <c r="Q57" s="40">
        <v>0.75882672460619227</v>
      </c>
      <c r="R57" s="40">
        <v>0.7601802539942647</v>
      </c>
      <c r="S57" s="40">
        <v>0.76973631481926741</v>
      </c>
      <c r="T57" s="90">
        <f t="shared" si="6"/>
        <v>3.9097981624281131</v>
      </c>
      <c r="U57" s="90">
        <f t="shared" si="7"/>
        <v>4.2825564115178789</v>
      </c>
      <c r="V57" s="90">
        <f t="shared" si="8"/>
        <v>0.95560608250027101</v>
      </c>
    </row>
    <row r="58" spans="1:22" x14ac:dyDescent="0.25">
      <c r="A58" s="84" t="s">
        <v>59</v>
      </c>
      <c r="B58" s="41">
        <v>0.70446371906071503</v>
      </c>
      <c r="C58" s="41">
        <v>0.71033447684391082</v>
      </c>
      <c r="D58" s="41">
        <v>0.73040078201368519</v>
      </c>
      <c r="E58" s="41">
        <v>0.75328083989501315</v>
      </c>
      <c r="F58" s="41">
        <v>0.71399866041527127</v>
      </c>
      <c r="G58" s="41">
        <v>0.70305206463195691</v>
      </c>
      <c r="H58" s="41">
        <v>0.72504644485728764</v>
      </c>
      <c r="I58" s="41">
        <v>0.72757847533632292</v>
      </c>
      <c r="J58" s="41">
        <v>0.74558080808080807</v>
      </c>
      <c r="K58" s="41">
        <v>0.74542868752539615</v>
      </c>
      <c r="L58" s="41">
        <v>0.75791583166332666</v>
      </c>
      <c r="M58" s="41">
        <v>0.77137176938369778</v>
      </c>
      <c r="N58" s="41">
        <v>0.78450595924644373</v>
      </c>
      <c r="O58" s="41">
        <v>0.77104446742502586</v>
      </c>
      <c r="P58" s="41">
        <v>0.77421890351739042</v>
      </c>
      <c r="Q58" s="41">
        <v>0.78039992794091151</v>
      </c>
      <c r="R58" s="41">
        <v>0.78075351793009529</v>
      </c>
      <c r="S58" s="41">
        <v>0.79744136460554371</v>
      </c>
      <c r="T58" s="89">
        <f t="shared" si="6"/>
        <v>5.1860556524735646</v>
      </c>
      <c r="U58" s="89">
        <f t="shared" si="7"/>
        <v>2.6396897180517853</v>
      </c>
      <c r="V58" s="89">
        <f t="shared" si="8"/>
        <v>1.6687846675448426</v>
      </c>
    </row>
    <row r="59" spans="1:22" x14ac:dyDescent="0.25">
      <c r="A59" s="84" t="s">
        <v>58</v>
      </c>
      <c r="B59" s="41">
        <v>0.62356792144026185</v>
      </c>
      <c r="C59" s="41">
        <v>0.67922406522350298</v>
      </c>
      <c r="D59" s="41">
        <v>0.71368929905515266</v>
      </c>
      <c r="E59" s="41">
        <v>0.69111830276878816</v>
      </c>
      <c r="F59" s="41">
        <v>0.66931637519872811</v>
      </c>
      <c r="G59" s="41">
        <v>0.68647111643220593</v>
      </c>
      <c r="H59" s="41">
        <v>0.69338996548977971</v>
      </c>
      <c r="I59" s="41">
        <v>0.71215520654612641</v>
      </c>
      <c r="J59" s="41">
        <v>0.72090472926662097</v>
      </c>
      <c r="K59" s="41">
        <v>0.72151354450336824</v>
      </c>
      <c r="L59" s="41">
        <v>0.74458813606972163</v>
      </c>
      <c r="M59" s="41">
        <v>0.75404827375496486</v>
      </c>
      <c r="N59" s="41">
        <v>0.71291406625060005</v>
      </c>
      <c r="O59" s="41">
        <v>0.68784328084950563</v>
      </c>
      <c r="P59" s="41">
        <v>0.72028630627236767</v>
      </c>
      <c r="Q59" s="41">
        <v>0.73703366696997274</v>
      </c>
      <c r="R59" s="41">
        <v>0.73588277340957831</v>
      </c>
      <c r="S59" s="41">
        <v>0.7339213524439544</v>
      </c>
      <c r="T59" s="89">
        <f t="shared" si="6"/>
        <v>1.3016623177333431</v>
      </c>
      <c r="U59" s="89">
        <f t="shared" si="7"/>
        <v>4.6078071594448762</v>
      </c>
      <c r="V59" s="89">
        <f t="shared" si="8"/>
        <v>-0.19614209656239057</v>
      </c>
    </row>
    <row r="60" spans="1:22" x14ac:dyDescent="0.25">
      <c r="A60" s="17" t="s">
        <v>224</v>
      </c>
      <c r="B60" s="61">
        <v>0.55906103286384978</v>
      </c>
      <c r="C60" s="61">
        <v>0.58874494766297025</v>
      </c>
      <c r="D60" s="61">
        <v>0.60861010205846744</v>
      </c>
      <c r="E60" s="61">
        <v>0.62170678686105185</v>
      </c>
      <c r="F60" s="61">
        <v>0.60587818696883855</v>
      </c>
      <c r="G60" s="61">
        <v>0.60497237569060769</v>
      </c>
      <c r="H60" s="61">
        <v>0.61652873295255861</v>
      </c>
      <c r="I60" s="61">
        <v>0.61609876785145634</v>
      </c>
      <c r="J60" s="61">
        <v>0.6298339553247877</v>
      </c>
      <c r="K60" s="61">
        <v>0.63877581340068346</v>
      </c>
      <c r="L60" s="61">
        <v>0.63527251262543449</v>
      </c>
      <c r="M60" s="61">
        <v>0.65395494001755583</v>
      </c>
      <c r="N60" s="61">
        <v>0.63585772235073246</v>
      </c>
      <c r="O60" s="61">
        <v>0.67187564939113087</v>
      </c>
      <c r="P60" s="61">
        <v>0.68624126237109839</v>
      </c>
      <c r="Q60" s="61">
        <v>0.67736028453709896</v>
      </c>
      <c r="R60" s="61">
        <v>0.67546103109435995</v>
      </c>
      <c r="S60" s="61">
        <v>0.68139131572919731</v>
      </c>
      <c r="T60" s="90">
        <f t="shared" si="6"/>
        <v>5.1557360404409618</v>
      </c>
      <c r="U60" s="90">
        <f t="shared" si="7"/>
        <v>0.95156663380664419</v>
      </c>
      <c r="V60" s="90">
        <f t="shared" si="8"/>
        <v>0.59302846348373572</v>
      </c>
    </row>
    <row r="61" spans="1:22" x14ac:dyDescent="0.25">
      <c r="A61" s="84" t="s">
        <v>59</v>
      </c>
      <c r="B61" s="41">
        <v>0.57637417965901594</v>
      </c>
      <c r="C61" s="41">
        <v>0.59751572834328115</v>
      </c>
      <c r="D61" s="41">
        <v>0.60826745572583141</v>
      </c>
      <c r="E61" s="41">
        <v>0.63292473968630547</v>
      </c>
      <c r="F61" s="41">
        <v>0.61035029551679398</v>
      </c>
      <c r="G61" s="41">
        <v>0.60301674125642302</v>
      </c>
      <c r="H61" s="41">
        <v>0.61823293653167433</v>
      </c>
      <c r="I61" s="41">
        <v>0.61671777096387148</v>
      </c>
      <c r="J61" s="41">
        <v>0.62889540877012129</v>
      </c>
      <c r="K61" s="41">
        <v>0.63151333831962109</v>
      </c>
      <c r="L61" s="41">
        <v>0.62801459464269827</v>
      </c>
      <c r="M61" s="41">
        <v>0.64414496448734293</v>
      </c>
      <c r="N61" s="41">
        <v>0.6399781141710742</v>
      </c>
      <c r="O61" s="41">
        <v>0.70621009866511897</v>
      </c>
      <c r="P61" s="41">
        <v>0.71061888012168462</v>
      </c>
      <c r="Q61" s="41">
        <v>0.69712844392704698</v>
      </c>
      <c r="R61" s="41">
        <v>0.69902828387992366</v>
      </c>
      <c r="S61" s="41">
        <v>0.71104815864022664</v>
      </c>
      <c r="T61" s="89">
        <f t="shared" si="6"/>
        <v>8.2152749870105346</v>
      </c>
      <c r="U61" s="89">
        <f t="shared" si="7"/>
        <v>0.48380599751076669</v>
      </c>
      <c r="V61" s="89">
        <f t="shared" si="8"/>
        <v>1.2019874760302973</v>
      </c>
    </row>
    <row r="62" spans="1:22" x14ac:dyDescent="0.25">
      <c r="A62" s="84" t="s">
        <v>58</v>
      </c>
      <c r="B62" s="41">
        <v>0.53866917508486356</v>
      </c>
      <c r="C62" s="41">
        <v>0.57947033988656238</v>
      </c>
      <c r="D62" s="41">
        <v>0.60893878415589919</v>
      </c>
      <c r="E62" s="41">
        <v>0.61238130021913806</v>
      </c>
      <c r="F62" s="41">
        <v>0.60245615325219692</v>
      </c>
      <c r="G62" s="41">
        <v>0.60627601193326208</v>
      </c>
      <c r="H62" s="41">
        <v>0.61544044617617844</v>
      </c>
      <c r="I62" s="41">
        <v>0.61573912706711587</v>
      </c>
      <c r="J62" s="41">
        <v>0.6303196946690196</v>
      </c>
      <c r="K62" s="41">
        <v>0.64281750069373789</v>
      </c>
      <c r="L62" s="41">
        <v>0.63950771148153918</v>
      </c>
      <c r="M62" s="41">
        <v>0.65940233604692322</v>
      </c>
      <c r="N62" s="41">
        <v>0.63346233366908766</v>
      </c>
      <c r="O62" s="41">
        <v>0.65272562475721874</v>
      </c>
      <c r="P62" s="41">
        <v>0.67228902551825453</v>
      </c>
      <c r="Q62" s="41">
        <v>0.66609541710431752</v>
      </c>
      <c r="R62" s="41">
        <v>0.66052776250687195</v>
      </c>
      <c r="S62" s="41">
        <v>0.66221240368554335</v>
      </c>
      <c r="T62" s="89">
        <f t="shared" si="6"/>
        <v>3.1892709016523746</v>
      </c>
      <c r="U62" s="89">
        <f t="shared" si="7"/>
        <v>0.94867789283246129</v>
      </c>
      <c r="V62" s="89">
        <f t="shared" si="8"/>
        <v>0.16846411786713977</v>
      </c>
    </row>
    <row r="63" spans="1:22" x14ac:dyDescent="0.25">
      <c r="A63" s="81" t="s">
        <v>96</v>
      </c>
      <c r="B63" s="40">
        <v>0.66658579105335991</v>
      </c>
      <c r="C63" s="40">
        <v>0.6912781111500006</v>
      </c>
      <c r="D63" s="40">
        <v>0.70922233792689326</v>
      </c>
      <c r="E63" s="40">
        <v>0.7113320616485761</v>
      </c>
      <c r="F63" s="40">
        <v>0.6846562721474132</v>
      </c>
      <c r="G63" s="40">
        <v>0.68973220651564271</v>
      </c>
      <c r="H63" s="40">
        <v>0.69461321726761271</v>
      </c>
      <c r="I63" s="40">
        <v>0.7024570399536062</v>
      </c>
      <c r="J63" s="40">
        <v>0.71157616916382926</v>
      </c>
      <c r="K63" s="40">
        <v>0.72363000835048441</v>
      </c>
      <c r="L63" s="40">
        <v>0.73983376445526472</v>
      </c>
      <c r="M63" s="40">
        <v>0.74877261002307971</v>
      </c>
      <c r="N63" s="40">
        <v>0.73562169704699432</v>
      </c>
      <c r="O63" s="40">
        <v>0.75559151532642077</v>
      </c>
      <c r="P63" s="40">
        <v>0.75558506614668253</v>
      </c>
      <c r="Q63" s="40">
        <v>0.75949903510144479</v>
      </c>
      <c r="R63" s="40">
        <v>0.76487132988940454</v>
      </c>
      <c r="S63" s="40">
        <v>0.77306330481553465</v>
      </c>
      <c r="T63" s="90">
        <f t="shared" si="6"/>
        <v>6.1487135651705387</v>
      </c>
      <c r="U63" s="90">
        <f t="shared" si="7"/>
        <v>1.7471789489113876</v>
      </c>
      <c r="V63" s="90">
        <f t="shared" si="8"/>
        <v>0.81919749261301078</v>
      </c>
    </row>
    <row r="64" spans="1:22" x14ac:dyDescent="0.25">
      <c r="A64" s="117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4"/>
      <c r="U64" s="114"/>
      <c r="V64" s="114"/>
    </row>
    <row r="65" spans="1:22" ht="18" x14ac:dyDescent="0.25">
      <c r="A65" s="11" t="s">
        <v>276</v>
      </c>
      <c r="B65" s="11"/>
      <c r="C65" s="11"/>
      <c r="D65" s="11"/>
      <c r="E65" s="11"/>
      <c r="F65" s="11"/>
      <c r="G65" s="1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3"/>
    </row>
    <row r="66" spans="1:22" ht="45" customHeight="1" x14ac:dyDescent="0.25">
      <c r="A66" s="14" t="s">
        <v>82</v>
      </c>
      <c r="B66" s="38">
        <v>2007</v>
      </c>
      <c r="C66" s="38">
        <v>2008</v>
      </c>
      <c r="D66" s="38">
        <v>2009</v>
      </c>
      <c r="E66" s="38">
        <v>2010</v>
      </c>
      <c r="F66" s="38">
        <v>2011</v>
      </c>
      <c r="G66" s="38">
        <v>2012</v>
      </c>
      <c r="H66" s="38">
        <v>2013</v>
      </c>
      <c r="I66" s="38">
        <v>2014</v>
      </c>
      <c r="J66" s="38">
        <v>2015</v>
      </c>
      <c r="K66" s="38">
        <v>2016</v>
      </c>
      <c r="L66" s="38">
        <v>2017</v>
      </c>
      <c r="M66" s="38">
        <v>2018</v>
      </c>
      <c r="N66" s="38">
        <v>2019</v>
      </c>
      <c r="O66" s="38">
        <v>2020</v>
      </c>
      <c r="P66" s="38">
        <v>2021</v>
      </c>
      <c r="Q66" s="38">
        <v>2022</v>
      </c>
      <c r="R66" s="38">
        <v>2023</v>
      </c>
      <c r="S66" s="38">
        <v>2024</v>
      </c>
      <c r="T66" s="39" t="s">
        <v>373</v>
      </c>
      <c r="U66" s="39" t="s">
        <v>374</v>
      </c>
      <c r="V66" s="39" t="s">
        <v>375</v>
      </c>
    </row>
    <row r="67" spans="1:22" x14ac:dyDescent="0.25">
      <c r="A67" s="15" t="s">
        <v>278</v>
      </c>
      <c r="B67" s="16">
        <v>0.72832742244506954</v>
      </c>
      <c r="C67" s="16">
        <v>0.74017552521240615</v>
      </c>
      <c r="D67" s="16">
        <v>0.75107386341245552</v>
      </c>
      <c r="E67" s="16">
        <v>0.74923004307038765</v>
      </c>
      <c r="F67" s="16">
        <v>0.71673819742489275</v>
      </c>
      <c r="G67" s="16">
        <v>0.72173316192011849</v>
      </c>
      <c r="H67" s="16">
        <v>0.71945850759410079</v>
      </c>
      <c r="I67" s="16">
        <v>0.72751769146500389</v>
      </c>
      <c r="J67" s="16">
        <v>0.73266344441617914</v>
      </c>
      <c r="K67" s="16">
        <v>0.74205210691649481</v>
      </c>
      <c r="L67" s="16">
        <v>0.75987799805905998</v>
      </c>
      <c r="M67" s="41">
        <v>0.76658824964051808</v>
      </c>
      <c r="N67" s="41">
        <v>0.7549896488653951</v>
      </c>
      <c r="O67" s="41">
        <v>0.78380479286128812</v>
      </c>
      <c r="P67" s="41">
        <v>0.77650800438303447</v>
      </c>
      <c r="Q67" s="41">
        <v>0.77779857244602479</v>
      </c>
      <c r="R67" s="41">
        <v>0.78623821000891958</v>
      </c>
      <c r="S67" s="41">
        <v>0.79467001038674245</v>
      </c>
      <c r="T67" s="89">
        <f t="shared" ref="T67:T70" si="9">(S67-J67)*100</f>
        <v>6.200656597056331</v>
      </c>
      <c r="U67" s="89">
        <f t="shared" ref="U67:U70" si="10">(S67-O67)*100</f>
        <v>1.0865217525454329</v>
      </c>
      <c r="V67" s="89">
        <f t="shared" ref="V67:V70" si="11">(S67-R67)*100</f>
        <v>0.84318003778228734</v>
      </c>
    </row>
    <row r="68" spans="1:22" x14ac:dyDescent="0.25">
      <c r="A68" s="15" t="s">
        <v>279</v>
      </c>
      <c r="B68" s="16">
        <v>0.62699586360616388</v>
      </c>
      <c r="C68" s="16">
        <v>0.65952206366217314</v>
      </c>
      <c r="D68" s="16">
        <v>0.68262147941813678</v>
      </c>
      <c r="E68" s="16">
        <v>0.68613186353900002</v>
      </c>
      <c r="F68" s="16">
        <v>0.66210260881860816</v>
      </c>
      <c r="G68" s="16">
        <v>0.66622866166418848</v>
      </c>
      <c r="H68" s="16">
        <v>0.68001636798589837</v>
      </c>
      <c r="I68" s="16">
        <v>0.68864118895966031</v>
      </c>
      <c r="J68" s="16">
        <v>0.69879229805172616</v>
      </c>
      <c r="K68" s="16">
        <v>0.71478166350558459</v>
      </c>
      <c r="L68" s="16">
        <v>0.73190630854330407</v>
      </c>
      <c r="M68" s="41">
        <v>0.74215726959701211</v>
      </c>
      <c r="N68" s="41">
        <v>0.72562868939161296</v>
      </c>
      <c r="O68" s="41">
        <v>0.71410891089108908</v>
      </c>
      <c r="P68" s="41">
        <v>0.73213277356313378</v>
      </c>
      <c r="Q68" s="41">
        <v>0.74569256167600628</v>
      </c>
      <c r="R68" s="41">
        <v>0.74538971177786217</v>
      </c>
      <c r="S68" s="41">
        <v>0.7542025313827081</v>
      </c>
      <c r="T68" s="89">
        <f t="shared" si="9"/>
        <v>5.5410233330981935</v>
      </c>
      <c r="U68" s="89">
        <f t="shared" si="10"/>
        <v>4.0093620491619024</v>
      </c>
      <c r="V68" s="89">
        <f t="shared" si="11"/>
        <v>0.88128196048459229</v>
      </c>
    </row>
    <row r="69" spans="1:22" x14ac:dyDescent="0.25">
      <c r="A69" s="15" t="s">
        <v>224</v>
      </c>
      <c r="B69" s="16">
        <v>0.55906103286384978</v>
      </c>
      <c r="C69" s="16">
        <v>0.58874494766297025</v>
      </c>
      <c r="D69" s="16">
        <v>0.60861010205846744</v>
      </c>
      <c r="E69" s="16">
        <v>0.62170678686105185</v>
      </c>
      <c r="F69" s="16">
        <v>0.60587818696883855</v>
      </c>
      <c r="G69" s="16">
        <v>0.60497237569060769</v>
      </c>
      <c r="H69" s="16">
        <v>0.61652873295255861</v>
      </c>
      <c r="I69" s="16">
        <v>0.61609876785145634</v>
      </c>
      <c r="J69" s="16">
        <v>0.6298339553247877</v>
      </c>
      <c r="K69" s="16">
        <v>0.63877581340068346</v>
      </c>
      <c r="L69" s="16">
        <v>0.63527251262543449</v>
      </c>
      <c r="M69" s="41">
        <v>0.65395494001755583</v>
      </c>
      <c r="N69" s="41">
        <v>0.63585772235073246</v>
      </c>
      <c r="O69" s="41">
        <v>0.67187564939113087</v>
      </c>
      <c r="P69" s="41">
        <v>0.68624126237109839</v>
      </c>
      <c r="Q69" s="41">
        <v>0.67736028453709896</v>
      </c>
      <c r="R69" s="41">
        <v>0.67546103109435995</v>
      </c>
      <c r="S69" s="41">
        <v>0.68139131572919731</v>
      </c>
      <c r="T69" s="89">
        <f t="shared" si="9"/>
        <v>5.1557360404409618</v>
      </c>
      <c r="U69" s="89">
        <f t="shared" si="10"/>
        <v>0.95156663380664419</v>
      </c>
      <c r="V69" s="89">
        <f t="shared" si="11"/>
        <v>0.59302846348373572</v>
      </c>
    </row>
    <row r="70" spans="1:22" x14ac:dyDescent="0.25">
      <c r="A70" s="81" t="s">
        <v>96</v>
      </c>
      <c r="B70" s="40">
        <v>0.66658579105335991</v>
      </c>
      <c r="C70" s="40">
        <v>0.6912781111500006</v>
      </c>
      <c r="D70" s="40">
        <v>0.70922233792689326</v>
      </c>
      <c r="E70" s="40">
        <v>0.7113320616485761</v>
      </c>
      <c r="F70" s="40">
        <v>0.6846562721474132</v>
      </c>
      <c r="G70" s="40">
        <v>0.68973220651564271</v>
      </c>
      <c r="H70" s="40">
        <v>0.69461321726761271</v>
      </c>
      <c r="I70" s="40">
        <v>0.7024570399536062</v>
      </c>
      <c r="J70" s="40">
        <v>0.71157616916382926</v>
      </c>
      <c r="K70" s="40">
        <v>0.72363000835048441</v>
      </c>
      <c r="L70" s="40">
        <v>0.73983376445526472</v>
      </c>
      <c r="M70" s="40">
        <v>0.74877261002307971</v>
      </c>
      <c r="N70" s="40">
        <v>0.73562169704699432</v>
      </c>
      <c r="O70" s="40">
        <v>0.75559151532642077</v>
      </c>
      <c r="P70" s="40">
        <v>0.75558506614668253</v>
      </c>
      <c r="Q70" s="40">
        <v>0.75949903510144479</v>
      </c>
      <c r="R70" s="40">
        <v>0.76487132988940454</v>
      </c>
      <c r="S70" s="40">
        <v>0.77306330481553465</v>
      </c>
      <c r="T70" s="90">
        <f t="shared" si="9"/>
        <v>6.1487135651705387</v>
      </c>
      <c r="U70" s="90">
        <f t="shared" si="10"/>
        <v>1.7471789489113876</v>
      </c>
      <c r="V70" s="90">
        <f t="shared" si="11"/>
        <v>0.81919749261301078</v>
      </c>
    </row>
    <row r="71" spans="1:22" x14ac:dyDescent="0.25">
      <c r="A71" s="117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6"/>
      <c r="U71" s="116"/>
      <c r="V71" s="116"/>
    </row>
    <row r="72" spans="1:22" ht="18" x14ac:dyDescent="0.25">
      <c r="A72" s="25" t="s">
        <v>280</v>
      </c>
      <c r="B72" s="25"/>
      <c r="C72" s="25"/>
      <c r="D72" s="25"/>
      <c r="E72" s="25"/>
      <c r="F72" s="25"/>
      <c r="G72" s="25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3"/>
    </row>
    <row r="73" spans="1:22" ht="45" customHeight="1" x14ac:dyDescent="0.25">
      <c r="A73" s="14" t="s">
        <v>98</v>
      </c>
      <c r="B73" s="38">
        <v>2007</v>
      </c>
      <c r="C73" s="38">
        <v>2008</v>
      </c>
      <c r="D73" s="38">
        <v>2009</v>
      </c>
      <c r="E73" s="38">
        <v>2010</v>
      </c>
      <c r="F73" s="38">
        <v>2011</v>
      </c>
      <c r="G73" s="38">
        <v>2012</v>
      </c>
      <c r="H73" s="38">
        <v>2013</v>
      </c>
      <c r="I73" s="38">
        <v>2014</v>
      </c>
      <c r="J73" s="38">
        <v>2015</v>
      </c>
      <c r="K73" s="38">
        <v>2016</v>
      </c>
      <c r="L73" s="38">
        <v>2017</v>
      </c>
      <c r="M73" s="38">
        <v>2018</v>
      </c>
      <c r="N73" s="38">
        <v>2019</v>
      </c>
      <c r="O73" s="38">
        <v>2020</v>
      </c>
      <c r="P73" s="38">
        <v>2021</v>
      </c>
      <c r="Q73" s="38">
        <v>2022</v>
      </c>
      <c r="R73" s="38">
        <v>2023</v>
      </c>
      <c r="S73" s="38">
        <v>2024</v>
      </c>
      <c r="T73" s="39" t="s">
        <v>373</v>
      </c>
      <c r="U73" s="39" t="s">
        <v>374</v>
      </c>
      <c r="V73" s="39" t="s">
        <v>375</v>
      </c>
    </row>
    <row r="74" spans="1:22" x14ac:dyDescent="0.25">
      <c r="A74" s="81" t="s">
        <v>278</v>
      </c>
      <c r="B74" s="40">
        <v>0.72832742244506954</v>
      </c>
      <c r="C74" s="40">
        <v>0.74017552521240615</v>
      </c>
      <c r="D74" s="40">
        <v>0.75107386341245552</v>
      </c>
      <c r="E74" s="40">
        <v>0.74923004307038765</v>
      </c>
      <c r="F74" s="40">
        <v>0.71673819742489275</v>
      </c>
      <c r="G74" s="40">
        <v>0.72173316192011849</v>
      </c>
      <c r="H74" s="40">
        <v>0.71945850759410079</v>
      </c>
      <c r="I74" s="40">
        <v>0.72751769146500389</v>
      </c>
      <c r="J74" s="40">
        <v>0.73266344441617914</v>
      </c>
      <c r="K74" s="40">
        <v>0.74205210691649481</v>
      </c>
      <c r="L74" s="40">
        <v>0.75987799805905998</v>
      </c>
      <c r="M74" s="40">
        <v>0.76658824964051808</v>
      </c>
      <c r="N74" s="40">
        <v>0.7549896488653951</v>
      </c>
      <c r="O74" s="40">
        <v>0.78380479286128812</v>
      </c>
      <c r="P74" s="40">
        <v>0.77650800438303447</v>
      </c>
      <c r="Q74" s="40">
        <v>0.77779857244602479</v>
      </c>
      <c r="R74" s="61">
        <v>0.78623821000891958</v>
      </c>
      <c r="S74" s="61">
        <v>0.79467001038674245</v>
      </c>
      <c r="T74" s="90">
        <f t="shared" ref="T74:T86" si="12">(S74-J74)*100</f>
        <v>6.200656597056331</v>
      </c>
      <c r="U74" s="90">
        <f t="shared" ref="U74:U86" si="13">(S74-O74)*100</f>
        <v>1.0865217525454329</v>
      </c>
      <c r="V74" s="90">
        <f t="shared" ref="V74:V86" si="14">(S74-R74)*100</f>
        <v>0.84318003778228734</v>
      </c>
    </row>
    <row r="75" spans="1:22" x14ac:dyDescent="0.25">
      <c r="A75" s="84" t="s">
        <v>2</v>
      </c>
      <c r="B75" s="41">
        <v>0.59392951405061323</v>
      </c>
      <c r="C75" s="41">
        <v>0.65151360196359176</v>
      </c>
      <c r="D75" s="41">
        <v>0.67983998593282924</v>
      </c>
      <c r="E75" s="41">
        <v>0.6383986224709427</v>
      </c>
      <c r="F75" s="41">
        <v>0.61374826173563346</v>
      </c>
      <c r="G75" s="41">
        <v>0.62956252595025097</v>
      </c>
      <c r="H75" s="41">
        <v>0.6291369810128804</v>
      </c>
      <c r="I75" s="41">
        <v>0.62099263832818807</v>
      </c>
      <c r="J75" s="41">
        <v>0.64750150511739912</v>
      </c>
      <c r="K75" s="41">
        <v>0.6508100409471248</v>
      </c>
      <c r="L75" s="41">
        <v>0.66928142204310748</v>
      </c>
      <c r="M75" s="41">
        <v>0.68772955817851156</v>
      </c>
      <c r="N75" s="41">
        <v>0.6603174603174603</v>
      </c>
      <c r="O75" s="41">
        <v>0.65648689625297807</v>
      </c>
      <c r="P75" s="41">
        <v>0.68104065273403946</v>
      </c>
      <c r="Q75" s="41">
        <v>0.70745288406624784</v>
      </c>
      <c r="R75" s="41">
        <v>0.70755646008403361</v>
      </c>
      <c r="S75" s="41">
        <v>0.70355600863516432</v>
      </c>
      <c r="T75" s="89">
        <f t="shared" si="12"/>
        <v>5.6054503517765202</v>
      </c>
      <c r="U75" s="89">
        <f t="shared" si="13"/>
        <v>4.7069112382186251</v>
      </c>
      <c r="V75" s="89">
        <f t="shared" si="14"/>
        <v>-0.4000451448869291</v>
      </c>
    </row>
    <row r="76" spans="1:22" x14ac:dyDescent="0.25">
      <c r="A76" s="84" t="s">
        <v>3</v>
      </c>
      <c r="B76" s="41">
        <v>0.61020848819510809</v>
      </c>
      <c r="C76" s="41">
        <v>0.65651611145173372</v>
      </c>
      <c r="D76" s="41">
        <v>0.66238782563238752</v>
      </c>
      <c r="E76" s="41">
        <v>0.66111860848702952</v>
      </c>
      <c r="F76" s="41">
        <v>0.64304954517354063</v>
      </c>
      <c r="G76" s="41">
        <v>0.64954609151282516</v>
      </c>
      <c r="H76" s="41">
        <v>0.6601131911188507</v>
      </c>
      <c r="I76" s="41">
        <v>0.67252029200061259</v>
      </c>
      <c r="J76" s="41">
        <v>0.6724021592442645</v>
      </c>
      <c r="K76" s="41">
        <v>0.67925835784065169</v>
      </c>
      <c r="L76" s="41">
        <v>0.70892626131953429</v>
      </c>
      <c r="M76" s="41">
        <v>0.72326772808031325</v>
      </c>
      <c r="N76" s="41">
        <v>0.68790968068076497</v>
      </c>
      <c r="O76" s="41">
        <v>0.68820973454558731</v>
      </c>
      <c r="P76" s="41">
        <v>0.70057113630551526</v>
      </c>
      <c r="Q76" s="41">
        <v>0.71892270692977844</v>
      </c>
      <c r="R76" s="41">
        <v>0.72423035686935211</v>
      </c>
      <c r="S76" s="41">
        <v>0.72865545814434307</v>
      </c>
      <c r="T76" s="89">
        <f t="shared" si="12"/>
        <v>5.6253298900078574</v>
      </c>
      <c r="U76" s="89">
        <f t="shared" si="13"/>
        <v>4.0445723598755752</v>
      </c>
      <c r="V76" s="89">
        <f t="shared" si="14"/>
        <v>0.44251012749909613</v>
      </c>
    </row>
    <row r="77" spans="1:22" x14ac:dyDescent="0.25">
      <c r="A77" s="84" t="s">
        <v>4</v>
      </c>
      <c r="B77" s="41">
        <v>0.79049827040553466</v>
      </c>
      <c r="C77" s="41">
        <v>0.78845068150657316</v>
      </c>
      <c r="D77" s="41">
        <v>0.80023771207388006</v>
      </c>
      <c r="E77" s="41">
        <v>0.81040770570518561</v>
      </c>
      <c r="F77" s="41">
        <v>0.77426713489261412</v>
      </c>
      <c r="G77" s="41">
        <v>0.77733679525222554</v>
      </c>
      <c r="H77" s="41">
        <v>0.7764853939440165</v>
      </c>
      <c r="I77" s="41">
        <v>0.78857449479221564</v>
      </c>
      <c r="J77" s="41">
        <v>0.78964720783817011</v>
      </c>
      <c r="K77" s="41">
        <v>0.79857209737827717</v>
      </c>
      <c r="L77" s="41">
        <v>0.81008395650777631</v>
      </c>
      <c r="M77" s="41">
        <v>0.80921521729319912</v>
      </c>
      <c r="N77" s="41">
        <v>0.8161852643786468</v>
      </c>
      <c r="O77" s="41">
        <v>0.86698941572927046</v>
      </c>
      <c r="P77" s="41">
        <v>0.84738172481738749</v>
      </c>
      <c r="Q77" s="41">
        <v>0.83360576639029482</v>
      </c>
      <c r="R77" s="41">
        <v>0.84227686101305888</v>
      </c>
      <c r="S77" s="41">
        <v>0.85533397181093151</v>
      </c>
      <c r="T77" s="89">
        <f t="shared" si="12"/>
        <v>6.5686763972761408</v>
      </c>
      <c r="U77" s="89">
        <f t="shared" si="13"/>
        <v>-1.1655443918338948</v>
      </c>
      <c r="V77" s="89">
        <f t="shared" si="14"/>
        <v>1.305711079787264</v>
      </c>
    </row>
    <row r="78" spans="1:22" x14ac:dyDescent="0.25">
      <c r="A78" s="81" t="s">
        <v>279</v>
      </c>
      <c r="B78" s="40">
        <v>0.62699586360616388</v>
      </c>
      <c r="C78" s="40">
        <v>0.65952206366217314</v>
      </c>
      <c r="D78" s="40">
        <v>0.68262147941813678</v>
      </c>
      <c r="E78" s="40">
        <v>0.68613186353900002</v>
      </c>
      <c r="F78" s="40">
        <v>0.66210260881860816</v>
      </c>
      <c r="G78" s="40">
        <v>0.66622866166418848</v>
      </c>
      <c r="H78" s="40">
        <v>0.68001636798589837</v>
      </c>
      <c r="I78" s="40">
        <v>0.68864118895966031</v>
      </c>
      <c r="J78" s="40">
        <v>0.69879229805172616</v>
      </c>
      <c r="K78" s="40">
        <v>0.71478166350558459</v>
      </c>
      <c r="L78" s="40">
        <v>0.73190630854330407</v>
      </c>
      <c r="M78" s="61">
        <v>0.74215726959701211</v>
      </c>
      <c r="N78" s="61">
        <v>0.72562868939161296</v>
      </c>
      <c r="O78" s="61">
        <v>0.71410891089108908</v>
      </c>
      <c r="P78" s="61">
        <v>0.73213277356313378</v>
      </c>
      <c r="Q78" s="61">
        <v>0.74569256167600628</v>
      </c>
      <c r="R78" s="61">
        <v>0.74538971177786217</v>
      </c>
      <c r="S78" s="61">
        <v>0.7542025313827081</v>
      </c>
      <c r="T78" s="90">
        <f t="shared" si="12"/>
        <v>5.5410233330981935</v>
      </c>
      <c r="U78" s="90">
        <f t="shared" si="13"/>
        <v>4.0093620491619024</v>
      </c>
      <c r="V78" s="90">
        <f t="shared" si="14"/>
        <v>0.88128196048459229</v>
      </c>
    </row>
    <row r="79" spans="1:22" x14ac:dyDescent="0.25">
      <c r="A79" s="84" t="s">
        <v>2</v>
      </c>
      <c r="B79" s="41">
        <v>0.58869640956159874</v>
      </c>
      <c r="C79" s="41">
        <v>0.6363261377698336</v>
      </c>
      <c r="D79" s="41">
        <v>0.68357943821472189</v>
      </c>
      <c r="E79" s="41">
        <v>0.65934624809283837</v>
      </c>
      <c r="F79" s="41">
        <v>0.63743343068201341</v>
      </c>
      <c r="G79" s="41">
        <v>0.65576531064433219</v>
      </c>
      <c r="H79" s="41">
        <v>0.66362203451481228</v>
      </c>
      <c r="I79" s="41">
        <v>0.65879777070063694</v>
      </c>
      <c r="J79" s="41">
        <v>0.68198194379688892</v>
      </c>
      <c r="K79" s="41">
        <v>0.70015956032266646</v>
      </c>
      <c r="L79" s="41">
        <v>0.72395499080135195</v>
      </c>
      <c r="M79" s="41">
        <v>0.73483572939601949</v>
      </c>
      <c r="N79" s="41">
        <v>0.7094967289519819</v>
      </c>
      <c r="O79" s="41">
        <v>0.66625674013811376</v>
      </c>
      <c r="P79" s="41">
        <v>0.70789574183692949</v>
      </c>
      <c r="Q79" s="41">
        <v>0.74060295680742105</v>
      </c>
      <c r="R79" s="41">
        <v>0.72405786747633505</v>
      </c>
      <c r="S79" s="41">
        <v>0.72809123649459784</v>
      </c>
      <c r="T79" s="89">
        <f t="shared" si="12"/>
        <v>4.6109292697708915</v>
      </c>
      <c r="U79" s="89">
        <f t="shared" si="13"/>
        <v>6.1834496356484081</v>
      </c>
      <c r="V79" s="89">
        <f t="shared" si="14"/>
        <v>0.4033369018262789</v>
      </c>
    </row>
    <row r="80" spans="1:22" x14ac:dyDescent="0.25">
      <c r="A80" s="84" t="s">
        <v>3</v>
      </c>
      <c r="B80" s="41">
        <v>0.55790539100788406</v>
      </c>
      <c r="C80" s="41">
        <v>0.61896871040062384</v>
      </c>
      <c r="D80" s="41">
        <v>0.64371269015983057</v>
      </c>
      <c r="E80" s="41">
        <v>0.65350806581447018</v>
      </c>
      <c r="F80" s="41">
        <v>0.65052488070892978</v>
      </c>
      <c r="G80" s="41">
        <v>0.65951418046933363</v>
      </c>
      <c r="H80" s="41">
        <v>0.67894100845874983</v>
      </c>
      <c r="I80" s="41">
        <v>0.69509455362401029</v>
      </c>
      <c r="J80" s="41">
        <v>0.6969841345466673</v>
      </c>
      <c r="K80" s="41">
        <v>0.70999601191732942</v>
      </c>
      <c r="L80" s="41">
        <v>0.73352703870905778</v>
      </c>
      <c r="M80" s="41">
        <v>0.74639762554454503</v>
      </c>
      <c r="N80" s="41">
        <v>0.72227800889398941</v>
      </c>
      <c r="O80" s="41">
        <v>0.69684528381850452</v>
      </c>
      <c r="P80" s="41">
        <v>0.71880930975926483</v>
      </c>
      <c r="Q80" s="41">
        <v>0.73973102347845909</v>
      </c>
      <c r="R80" s="41">
        <v>0.73921446517920419</v>
      </c>
      <c r="S80" s="41">
        <v>0.74663631651303775</v>
      </c>
      <c r="T80" s="89">
        <f t="shared" si="12"/>
        <v>4.9652181966370446</v>
      </c>
      <c r="U80" s="89">
        <f t="shared" si="13"/>
        <v>4.9791032694533222</v>
      </c>
      <c r="V80" s="89">
        <f t="shared" si="14"/>
        <v>0.74218513338335512</v>
      </c>
    </row>
    <row r="81" spans="1:23" x14ac:dyDescent="0.25">
      <c r="A81" s="84" t="s">
        <v>4</v>
      </c>
      <c r="B81" s="41">
        <v>0.72342486043067111</v>
      </c>
      <c r="C81" s="41">
        <v>0.72405230922032771</v>
      </c>
      <c r="D81" s="41">
        <v>0.73073010028583885</v>
      </c>
      <c r="E81" s="41">
        <v>0.75282686992210401</v>
      </c>
      <c r="F81" s="41">
        <v>0.70221222949371664</v>
      </c>
      <c r="G81" s="41">
        <v>0.68581001182499013</v>
      </c>
      <c r="H81" s="41">
        <v>0.69816367265469059</v>
      </c>
      <c r="I81" s="41">
        <v>0.70817371841776788</v>
      </c>
      <c r="J81" s="41">
        <v>0.72007748096761115</v>
      </c>
      <c r="K81" s="41">
        <v>0.73616339607529035</v>
      </c>
      <c r="L81" s="41">
        <v>0.73660395332221962</v>
      </c>
      <c r="M81" s="41">
        <v>0.74184490874556119</v>
      </c>
      <c r="N81" s="41">
        <v>0.74841465562797249</v>
      </c>
      <c r="O81" s="41">
        <v>0.79609640692000594</v>
      </c>
      <c r="P81" s="41">
        <v>0.78299951148021496</v>
      </c>
      <c r="Q81" s="41">
        <v>0.76279958966707073</v>
      </c>
      <c r="R81" s="41">
        <v>0.77502420135527594</v>
      </c>
      <c r="S81" s="41">
        <v>0.79087198515769941</v>
      </c>
      <c r="T81" s="89">
        <f t="shared" si="12"/>
        <v>7.0794504190088254</v>
      </c>
      <c r="U81" s="89">
        <f t="shared" si="13"/>
        <v>-0.52244217623065303</v>
      </c>
      <c r="V81" s="89">
        <f t="shared" si="14"/>
        <v>1.5847783802423465</v>
      </c>
    </row>
    <row r="82" spans="1:23" x14ac:dyDescent="0.25">
      <c r="A82" s="81" t="s">
        <v>224</v>
      </c>
      <c r="B82" s="61">
        <v>0.55906103286384978</v>
      </c>
      <c r="C82" s="61">
        <v>0.58874494766297025</v>
      </c>
      <c r="D82" s="61">
        <v>0.60861010205846744</v>
      </c>
      <c r="E82" s="61">
        <v>0.62170678686105185</v>
      </c>
      <c r="F82" s="61">
        <v>0.60587818696883855</v>
      </c>
      <c r="G82" s="61">
        <v>0.60497237569060769</v>
      </c>
      <c r="H82" s="61">
        <v>0.61652873295255861</v>
      </c>
      <c r="I82" s="61">
        <v>0.61609876785145634</v>
      </c>
      <c r="J82" s="61">
        <v>0.6298339553247877</v>
      </c>
      <c r="K82" s="61">
        <v>0.63877581340068346</v>
      </c>
      <c r="L82" s="61">
        <v>0.63527251262543449</v>
      </c>
      <c r="M82" s="61">
        <v>0.65395494001755583</v>
      </c>
      <c r="N82" s="61">
        <v>0.63585772235073246</v>
      </c>
      <c r="O82" s="61">
        <v>0.67187564939113087</v>
      </c>
      <c r="P82" s="61">
        <v>0.68624126237109839</v>
      </c>
      <c r="Q82" s="61">
        <v>0.67736028453709896</v>
      </c>
      <c r="R82" s="61">
        <v>0.67546103109435995</v>
      </c>
      <c r="S82" s="61">
        <v>0.68139131572919731</v>
      </c>
      <c r="T82" s="90">
        <f t="shared" si="12"/>
        <v>5.1557360404409618</v>
      </c>
      <c r="U82" s="90">
        <f t="shared" si="13"/>
        <v>0.95156663380664419</v>
      </c>
      <c r="V82" s="90">
        <f t="shared" si="14"/>
        <v>0.59302846348373572</v>
      </c>
    </row>
    <row r="83" spans="1:23" x14ac:dyDescent="0.25">
      <c r="A83" s="84" t="s">
        <v>2</v>
      </c>
      <c r="B83" s="41">
        <v>0.54060756354618722</v>
      </c>
      <c r="C83" s="41">
        <v>0.57374468754918939</v>
      </c>
      <c r="D83" s="41">
        <v>0.63428285022136832</v>
      </c>
      <c r="E83" s="41">
        <v>0.60942632342830949</v>
      </c>
      <c r="F83" s="41">
        <v>0.58128701144887485</v>
      </c>
      <c r="G83" s="41">
        <v>0.60137307725732159</v>
      </c>
      <c r="H83" s="41">
        <v>0.60891647855530473</v>
      </c>
      <c r="I83" s="41">
        <v>0.59770673403945196</v>
      </c>
      <c r="J83" s="41">
        <v>0.61502294861748574</v>
      </c>
      <c r="K83" s="41">
        <v>0.62729312392767589</v>
      </c>
      <c r="L83" s="41">
        <v>0.63303303303303304</v>
      </c>
      <c r="M83" s="41">
        <v>0.66712685994784471</v>
      </c>
      <c r="N83" s="41">
        <v>0.64119190983480001</v>
      </c>
      <c r="O83" s="41">
        <v>0.6673390794058317</v>
      </c>
      <c r="P83" s="41">
        <v>0.66281544542414106</v>
      </c>
      <c r="Q83" s="41">
        <v>0.6797752808988764</v>
      </c>
      <c r="R83" s="41">
        <v>0.66650222002960036</v>
      </c>
      <c r="S83" s="41">
        <v>0.67123471718393124</v>
      </c>
      <c r="T83" s="89">
        <f t="shared" si="12"/>
        <v>5.6211768566445492</v>
      </c>
      <c r="U83" s="89">
        <f t="shared" si="13"/>
        <v>0.38956377780995366</v>
      </c>
      <c r="V83" s="89">
        <f t="shared" si="14"/>
        <v>0.47324971543308836</v>
      </c>
    </row>
    <row r="84" spans="1:23" x14ac:dyDescent="0.25">
      <c r="A84" s="84" t="s">
        <v>3</v>
      </c>
      <c r="B84" s="41">
        <v>0.53483375959079282</v>
      </c>
      <c r="C84" s="41">
        <v>0.59550958034559776</v>
      </c>
      <c r="D84" s="41">
        <v>0.59841021047917597</v>
      </c>
      <c r="E84" s="41">
        <v>0.59874499728247443</v>
      </c>
      <c r="F84" s="41">
        <v>0.61778416980757789</v>
      </c>
      <c r="G84" s="41">
        <v>0.60742718686643915</v>
      </c>
      <c r="H84" s="41">
        <v>0.62385714285714289</v>
      </c>
      <c r="I84" s="41">
        <v>0.63159891855997718</v>
      </c>
      <c r="J84" s="41">
        <v>0.63820453965825041</v>
      </c>
      <c r="K84" s="41">
        <v>0.64454540537616967</v>
      </c>
      <c r="L84" s="41">
        <v>0.64234190911276745</v>
      </c>
      <c r="M84" s="41">
        <v>0.66207013001632242</v>
      </c>
      <c r="N84" s="41">
        <v>0.64110359068486866</v>
      </c>
      <c r="O84" s="41">
        <v>0.66355734577061687</v>
      </c>
      <c r="P84" s="41">
        <v>0.69060868567494693</v>
      </c>
      <c r="Q84" s="41">
        <v>0.67854011398509428</v>
      </c>
      <c r="R84" s="41">
        <v>0.67197501152132721</v>
      </c>
      <c r="S84" s="41">
        <v>0.67963697058209893</v>
      </c>
      <c r="T84" s="89">
        <f t="shared" si="12"/>
        <v>4.1432430923848518</v>
      </c>
      <c r="U84" s="89">
        <f t="shared" si="13"/>
        <v>1.6079624811482063</v>
      </c>
      <c r="V84" s="89">
        <f t="shared" si="14"/>
        <v>0.7661959060771717</v>
      </c>
    </row>
    <row r="85" spans="1:23" x14ac:dyDescent="0.25">
      <c r="A85" s="84" t="s">
        <v>4</v>
      </c>
      <c r="B85" s="41">
        <v>0.59328717060973268</v>
      </c>
      <c r="C85" s="41">
        <v>0.59282051282051285</v>
      </c>
      <c r="D85" s="41">
        <v>0.60098702248217872</v>
      </c>
      <c r="E85" s="41">
        <v>0.65891380643626196</v>
      </c>
      <c r="F85" s="41">
        <v>0.61058040714144546</v>
      </c>
      <c r="G85" s="41">
        <v>0.60436390532544382</v>
      </c>
      <c r="H85" s="41">
        <v>0.61005060818609602</v>
      </c>
      <c r="I85" s="41">
        <v>0.60154513705153989</v>
      </c>
      <c r="J85" s="41">
        <v>0.62606635071090044</v>
      </c>
      <c r="K85" s="41">
        <v>0.6361839504546053</v>
      </c>
      <c r="L85" s="41">
        <v>0.62100583495415396</v>
      </c>
      <c r="M85" s="41">
        <v>0.61841495442607752</v>
      </c>
      <c r="N85" s="41">
        <v>0.6145657316661034</v>
      </c>
      <c r="O85" s="41">
        <v>0.70383666143145618</v>
      </c>
      <c r="P85" s="41">
        <v>0.7021885866230313</v>
      </c>
      <c r="Q85" s="41">
        <v>0.66900584795321638</v>
      </c>
      <c r="R85" s="41">
        <v>0.70530930345835363</v>
      </c>
      <c r="S85" s="41">
        <v>0.70907247845919918</v>
      </c>
      <c r="T85" s="89">
        <f t="shared" si="12"/>
        <v>8.3006127748298741</v>
      </c>
      <c r="U85" s="89">
        <f t="shared" si="13"/>
        <v>0.52358170277430061</v>
      </c>
      <c r="V85" s="89">
        <f t="shared" si="14"/>
        <v>0.37631750008455533</v>
      </c>
    </row>
    <row r="86" spans="1:23" x14ac:dyDescent="0.25">
      <c r="A86" s="81" t="s">
        <v>96</v>
      </c>
      <c r="B86" s="40">
        <v>0.66658579105335991</v>
      </c>
      <c r="C86" s="40">
        <v>0.6912781111500006</v>
      </c>
      <c r="D86" s="40">
        <v>0.70922233792689326</v>
      </c>
      <c r="E86" s="40">
        <v>0.7113320616485761</v>
      </c>
      <c r="F86" s="40">
        <v>0.6846562721474132</v>
      </c>
      <c r="G86" s="40">
        <v>0.68973220651564271</v>
      </c>
      <c r="H86" s="40">
        <v>0.69461321726761271</v>
      </c>
      <c r="I86" s="40">
        <v>0.7024570399536062</v>
      </c>
      <c r="J86" s="40">
        <v>0.71157616916382926</v>
      </c>
      <c r="K86" s="40">
        <v>0.72363000835048441</v>
      </c>
      <c r="L86" s="40">
        <v>0.73983376445526472</v>
      </c>
      <c r="M86" s="61">
        <v>0.74877261002307971</v>
      </c>
      <c r="N86" s="61">
        <v>0.73562169704699432</v>
      </c>
      <c r="O86" s="61">
        <v>0.75559151532642077</v>
      </c>
      <c r="P86" s="61">
        <v>0.75558506614668253</v>
      </c>
      <c r="Q86" s="61">
        <v>0.75949903510144479</v>
      </c>
      <c r="R86" s="61">
        <v>0.76487132988940454</v>
      </c>
      <c r="S86" s="61">
        <v>0.77306330481553465</v>
      </c>
      <c r="T86" s="90">
        <f t="shared" si="12"/>
        <v>6.1487135651705387</v>
      </c>
      <c r="U86" s="90">
        <f t="shared" si="13"/>
        <v>1.7471789489113876</v>
      </c>
      <c r="V86" s="90">
        <f t="shared" si="14"/>
        <v>0.81919749261301078</v>
      </c>
    </row>
    <row r="87" spans="1:23" x14ac:dyDescent="0.25">
      <c r="A87" s="117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98"/>
      <c r="N87" s="98"/>
      <c r="O87" s="98"/>
      <c r="P87" s="98"/>
      <c r="Q87" s="98"/>
      <c r="R87" s="98"/>
      <c r="S87" s="98"/>
      <c r="T87" s="114"/>
      <c r="U87" s="114"/>
      <c r="V87" s="114"/>
    </row>
    <row r="88" spans="1:23" ht="18" x14ac:dyDescent="0.25">
      <c r="A88" s="25" t="s">
        <v>281</v>
      </c>
      <c r="B88" s="25"/>
      <c r="C88" s="25"/>
      <c r="D88" s="25"/>
      <c r="E88" s="25"/>
      <c r="F88" s="25"/>
      <c r="G88" s="25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3"/>
    </row>
    <row r="89" spans="1:23" ht="45" customHeight="1" x14ac:dyDescent="0.25">
      <c r="A89" s="14" t="s">
        <v>99</v>
      </c>
      <c r="B89" s="38">
        <v>2007</v>
      </c>
      <c r="C89" s="38">
        <v>2008</v>
      </c>
      <c r="D89" s="38">
        <v>2009</v>
      </c>
      <c r="E89" s="38">
        <v>2010</v>
      </c>
      <c r="F89" s="38">
        <v>2011</v>
      </c>
      <c r="G89" s="38">
        <v>2012</v>
      </c>
      <c r="H89" s="38">
        <v>2013</v>
      </c>
      <c r="I89" s="38">
        <v>2014</v>
      </c>
      <c r="J89" s="38">
        <v>2015</v>
      </c>
      <c r="K89" s="38">
        <v>2016</v>
      </c>
      <c r="L89" s="38">
        <v>2017</v>
      </c>
      <c r="M89" s="38">
        <v>2018</v>
      </c>
      <c r="N89" s="38">
        <v>2019</v>
      </c>
      <c r="O89" s="38">
        <v>2020</v>
      </c>
      <c r="P89" s="38">
        <v>2021</v>
      </c>
      <c r="Q89" s="38">
        <v>2022</v>
      </c>
      <c r="R89" s="38">
        <v>2023</v>
      </c>
      <c r="S89" s="38">
        <v>2024</v>
      </c>
      <c r="T89" s="39" t="s">
        <v>373</v>
      </c>
      <c r="U89" s="39" t="s">
        <v>374</v>
      </c>
      <c r="V89" s="39" t="s">
        <v>375</v>
      </c>
    </row>
    <row r="90" spans="1:23" x14ac:dyDescent="0.25">
      <c r="A90" s="81" t="s">
        <v>278</v>
      </c>
      <c r="B90" s="40">
        <v>0.72832742244506954</v>
      </c>
      <c r="C90" s="40">
        <v>0.74017552521240615</v>
      </c>
      <c r="D90" s="40">
        <v>0.75107386341245552</v>
      </c>
      <c r="E90" s="40">
        <v>0.74923004307038765</v>
      </c>
      <c r="F90" s="40">
        <v>0.71673819742489275</v>
      </c>
      <c r="G90" s="40">
        <v>0.72173316192011849</v>
      </c>
      <c r="H90" s="40">
        <v>0.71945850759410079</v>
      </c>
      <c r="I90" s="40">
        <v>0.72751769146500389</v>
      </c>
      <c r="J90" s="40">
        <v>0.73266344441617914</v>
      </c>
      <c r="K90" s="40">
        <v>0.74205210691649481</v>
      </c>
      <c r="L90" s="40">
        <v>0.75987799805905998</v>
      </c>
      <c r="M90" s="40">
        <v>0.76658824964051808</v>
      </c>
      <c r="N90" s="40">
        <v>0.7549896488653951</v>
      </c>
      <c r="O90" s="40">
        <v>0.78380479286128812</v>
      </c>
      <c r="P90" s="40">
        <v>0.77650800438303447</v>
      </c>
      <c r="Q90" s="40">
        <v>0.77779857244602479</v>
      </c>
      <c r="R90" s="41">
        <v>0.78623821000891958</v>
      </c>
      <c r="S90" s="41">
        <v>0.79467001038674245</v>
      </c>
      <c r="T90" s="90">
        <f t="shared" ref="T90:T99" si="15">(S90-J90)*100</f>
        <v>6.200656597056331</v>
      </c>
      <c r="U90" s="90">
        <f t="shared" ref="U90:U99" si="16">(S90-O90)*100</f>
        <v>1.0865217525454329</v>
      </c>
      <c r="V90" s="90">
        <f t="shared" ref="V90:V99" si="17">(S90-R90)*100</f>
        <v>0.84318003778228734</v>
      </c>
    </row>
    <row r="91" spans="1:23" x14ac:dyDescent="0.25">
      <c r="A91" s="84" t="s">
        <v>59</v>
      </c>
      <c r="B91" s="41">
        <v>0.76907670321187527</v>
      </c>
      <c r="C91" s="41">
        <v>0.76953935401406026</v>
      </c>
      <c r="D91" s="41">
        <v>0.78334300848994998</v>
      </c>
      <c r="E91" s="41">
        <v>0.79185013744642097</v>
      </c>
      <c r="F91" s="41">
        <v>0.75933181423255358</v>
      </c>
      <c r="G91" s="41">
        <v>0.76836402856535879</v>
      </c>
      <c r="H91" s="41">
        <v>0.76495677703474152</v>
      </c>
      <c r="I91" s="41">
        <v>0.7777476143468246</v>
      </c>
      <c r="J91" s="41">
        <v>0.78257526178010473</v>
      </c>
      <c r="K91" s="41">
        <v>0.78892612929552242</v>
      </c>
      <c r="L91" s="41">
        <v>0.80491429305829998</v>
      </c>
      <c r="M91" s="41">
        <v>0.80721264097006251</v>
      </c>
      <c r="N91" s="41">
        <v>0.80669081808421073</v>
      </c>
      <c r="O91" s="41">
        <v>0.84864886504663917</v>
      </c>
      <c r="P91" s="41">
        <v>0.82836020959421586</v>
      </c>
      <c r="Q91" s="41">
        <v>0.82294413998957661</v>
      </c>
      <c r="R91" s="41">
        <v>0.8282748214745127</v>
      </c>
      <c r="S91" s="41">
        <v>0.83700482178311431</v>
      </c>
      <c r="T91" s="89">
        <f t="shared" si="15"/>
        <v>5.4429560003009581</v>
      </c>
      <c r="U91" s="89">
        <f t="shared" si="16"/>
        <v>-1.1644043263524861</v>
      </c>
      <c r="V91" s="89">
        <f t="shared" si="17"/>
        <v>0.87300003086016043</v>
      </c>
      <c r="W91" s="26"/>
    </row>
    <row r="92" spans="1:23" x14ac:dyDescent="0.25">
      <c r="A92" s="84" t="s">
        <v>58</v>
      </c>
      <c r="B92" s="41">
        <v>0.58252463421916989</v>
      </c>
      <c r="C92" s="41">
        <v>0.65234397976589609</v>
      </c>
      <c r="D92" s="41">
        <v>0.66638099319144883</v>
      </c>
      <c r="E92" s="41">
        <v>0.64681671251028972</v>
      </c>
      <c r="F92" s="41">
        <v>0.62318162177732972</v>
      </c>
      <c r="G92" s="41">
        <v>0.62846075899715625</v>
      </c>
      <c r="H92" s="41">
        <v>0.63763822485554222</v>
      </c>
      <c r="I92" s="41">
        <v>0.64157529522710322</v>
      </c>
      <c r="J92" s="41">
        <v>0.65055847126900823</v>
      </c>
      <c r="K92" s="41">
        <v>0.66001996782960781</v>
      </c>
      <c r="L92" s="41">
        <v>0.68007458331554149</v>
      </c>
      <c r="M92" s="41">
        <v>0.69213719253299555</v>
      </c>
      <c r="N92" s="41">
        <v>0.65875400785035443</v>
      </c>
      <c r="O92" s="41">
        <v>0.65510281918443891</v>
      </c>
      <c r="P92" s="41">
        <v>0.67676199406157211</v>
      </c>
      <c r="Q92" s="41">
        <v>0.69080479009114559</v>
      </c>
      <c r="R92" s="41">
        <v>0.69594503771189609</v>
      </c>
      <c r="S92" s="41">
        <v>0.69918971609601555</v>
      </c>
      <c r="T92" s="89">
        <f t="shared" si="15"/>
        <v>4.8631244827007318</v>
      </c>
      <c r="U92" s="89">
        <f t="shared" si="16"/>
        <v>4.4086896911576634</v>
      </c>
      <c r="V92" s="89">
        <f t="shared" si="17"/>
        <v>0.32446783841194593</v>
      </c>
      <c r="W92" s="26"/>
    </row>
    <row r="93" spans="1:23" x14ac:dyDescent="0.25">
      <c r="A93" s="81" t="s">
        <v>279</v>
      </c>
      <c r="B93" s="40">
        <v>0.62699586360616388</v>
      </c>
      <c r="C93" s="40">
        <v>0.65952206366217314</v>
      </c>
      <c r="D93" s="40">
        <v>0.68262147941813678</v>
      </c>
      <c r="E93" s="40">
        <v>0.68613186353900002</v>
      </c>
      <c r="F93" s="40">
        <v>0.66210260881860816</v>
      </c>
      <c r="G93" s="40">
        <v>0.66622866166418848</v>
      </c>
      <c r="H93" s="40">
        <v>0.68001636798589837</v>
      </c>
      <c r="I93" s="40">
        <v>0.68864118895966031</v>
      </c>
      <c r="J93" s="40">
        <v>0.69879229805172616</v>
      </c>
      <c r="K93" s="40">
        <v>0.71478166350558459</v>
      </c>
      <c r="L93" s="40">
        <v>0.73190630854330407</v>
      </c>
      <c r="M93" s="40">
        <v>0.74215726959701211</v>
      </c>
      <c r="N93" s="40">
        <v>0.72562868939161296</v>
      </c>
      <c r="O93" s="40">
        <v>0.71410891089108908</v>
      </c>
      <c r="P93" s="40">
        <v>0.73213277356313378</v>
      </c>
      <c r="Q93" s="40">
        <v>0.74569256167600628</v>
      </c>
      <c r="R93" s="40">
        <v>0.74538971177786217</v>
      </c>
      <c r="S93" s="40">
        <v>0.7542025313827081</v>
      </c>
      <c r="T93" s="90">
        <f t="shared" si="15"/>
        <v>5.5410233330981935</v>
      </c>
      <c r="U93" s="90">
        <f t="shared" si="16"/>
        <v>4.0093620491619024</v>
      </c>
      <c r="V93" s="90">
        <f t="shared" si="17"/>
        <v>0.88128196048459229</v>
      </c>
      <c r="W93" s="26"/>
    </row>
    <row r="94" spans="1:23" x14ac:dyDescent="0.25">
      <c r="A94" s="84" t="s">
        <v>59</v>
      </c>
      <c r="B94" s="41">
        <v>0.66880318267211847</v>
      </c>
      <c r="C94" s="41">
        <v>0.67852367884033493</v>
      </c>
      <c r="D94" s="41">
        <v>0.69504682883902191</v>
      </c>
      <c r="E94" s="41">
        <v>0.71400066511473226</v>
      </c>
      <c r="F94" s="41">
        <v>0.68345132978018186</v>
      </c>
      <c r="G94" s="41">
        <v>0.68057565744558834</v>
      </c>
      <c r="H94" s="41">
        <v>0.69740574015768519</v>
      </c>
      <c r="I94" s="41">
        <v>0.70905771661283523</v>
      </c>
      <c r="J94" s="41">
        <v>0.71876600102406552</v>
      </c>
      <c r="K94" s="41">
        <v>0.73099894601241366</v>
      </c>
      <c r="L94" s="41">
        <v>0.74171098789181844</v>
      </c>
      <c r="M94" s="41">
        <v>0.75604181184668995</v>
      </c>
      <c r="N94" s="41">
        <v>0.75801948762864024</v>
      </c>
      <c r="O94" s="41">
        <v>0.77190238720528781</v>
      </c>
      <c r="P94" s="41">
        <v>0.76538345782374351</v>
      </c>
      <c r="Q94" s="41">
        <v>0.77202949048124025</v>
      </c>
      <c r="R94" s="41">
        <v>0.7768187163978495</v>
      </c>
      <c r="S94" s="41">
        <v>0.7859319858838627</v>
      </c>
      <c r="T94" s="89">
        <f t="shared" si="15"/>
        <v>6.716598485979719</v>
      </c>
      <c r="U94" s="89">
        <f t="shared" si="16"/>
        <v>1.4029598678574895</v>
      </c>
      <c r="V94" s="89">
        <f t="shared" si="17"/>
        <v>0.91132694860132091</v>
      </c>
      <c r="W94" s="26"/>
    </row>
    <row r="95" spans="1:23" x14ac:dyDescent="0.25">
      <c r="A95" s="84" t="s">
        <v>58</v>
      </c>
      <c r="B95" s="41">
        <v>0.56882943829438293</v>
      </c>
      <c r="C95" s="41">
        <v>0.63771451645467392</v>
      </c>
      <c r="D95" s="41">
        <v>0.67056886775196634</v>
      </c>
      <c r="E95" s="41">
        <v>0.66128952569169963</v>
      </c>
      <c r="F95" s="41">
        <v>0.64502788793926158</v>
      </c>
      <c r="G95" s="41">
        <v>0.6557501296421876</v>
      </c>
      <c r="H95" s="41">
        <v>0.66826661040490887</v>
      </c>
      <c r="I95" s="41">
        <v>0.67623517364962882</v>
      </c>
      <c r="J95" s="41">
        <v>0.68774990269275682</v>
      </c>
      <c r="K95" s="41">
        <v>0.70489080942092386</v>
      </c>
      <c r="L95" s="41">
        <v>0.72558919490366913</v>
      </c>
      <c r="M95" s="41">
        <v>0.73280909841603481</v>
      </c>
      <c r="N95" s="41">
        <v>0.70259803444585001</v>
      </c>
      <c r="O95" s="41">
        <v>0.67086874931007834</v>
      </c>
      <c r="P95" s="41">
        <v>0.70507425467014007</v>
      </c>
      <c r="Q95" s="41">
        <v>0.72321582485778313</v>
      </c>
      <c r="R95" s="41">
        <v>0.713664885949292</v>
      </c>
      <c r="S95" s="41">
        <v>0.7201274790585499</v>
      </c>
      <c r="T95" s="89">
        <f t="shared" si="15"/>
        <v>3.2377576365793082</v>
      </c>
      <c r="U95" s="89">
        <f t="shared" si="16"/>
        <v>4.9258729748471559</v>
      </c>
      <c r="V95" s="89">
        <f t="shared" si="17"/>
        <v>0.6462593109257897</v>
      </c>
      <c r="W95" s="26"/>
    </row>
    <row r="96" spans="1:23" x14ac:dyDescent="0.25">
      <c r="A96" s="81" t="s">
        <v>224</v>
      </c>
      <c r="B96" s="61">
        <v>0.55906103286384978</v>
      </c>
      <c r="C96" s="61">
        <v>0.58874494766297025</v>
      </c>
      <c r="D96" s="61">
        <v>0.60861010205846744</v>
      </c>
      <c r="E96" s="61">
        <v>0.62170678686105185</v>
      </c>
      <c r="F96" s="61">
        <v>0.60587818696883855</v>
      </c>
      <c r="G96" s="61">
        <v>0.60497237569060769</v>
      </c>
      <c r="H96" s="61">
        <v>0.61652873295255861</v>
      </c>
      <c r="I96" s="61">
        <v>0.61609876785145634</v>
      </c>
      <c r="J96" s="61">
        <v>0.6298339553247877</v>
      </c>
      <c r="K96" s="61">
        <v>0.63877581340068346</v>
      </c>
      <c r="L96" s="61">
        <v>0.63527251262543449</v>
      </c>
      <c r="M96" s="61">
        <v>0.65395494001755583</v>
      </c>
      <c r="N96" s="61">
        <v>0.63585772235073246</v>
      </c>
      <c r="O96" s="61">
        <v>0.67187564939113087</v>
      </c>
      <c r="P96" s="61">
        <v>0.68624126237109839</v>
      </c>
      <c r="Q96" s="61">
        <v>0.67736028453709896</v>
      </c>
      <c r="R96" s="61">
        <v>0.67546103109435995</v>
      </c>
      <c r="S96" s="61">
        <v>0.68139131572919731</v>
      </c>
      <c r="T96" s="90">
        <f t="shared" si="15"/>
        <v>5.1557360404409618</v>
      </c>
      <c r="U96" s="90">
        <f t="shared" si="16"/>
        <v>0.95156663380664419</v>
      </c>
      <c r="V96" s="90">
        <f t="shared" si="17"/>
        <v>0.59302846348373572</v>
      </c>
      <c r="W96" s="26"/>
    </row>
    <row r="97" spans="1:23" x14ac:dyDescent="0.25">
      <c r="A97" s="84" t="s">
        <v>59</v>
      </c>
      <c r="B97" s="41">
        <v>0.57637417965901594</v>
      </c>
      <c r="C97" s="41">
        <v>0.59751572834328115</v>
      </c>
      <c r="D97" s="41">
        <v>0.60826745572583141</v>
      </c>
      <c r="E97" s="41">
        <v>0.63292473968630547</v>
      </c>
      <c r="F97" s="41">
        <v>0.61035029551679398</v>
      </c>
      <c r="G97" s="41">
        <v>0.60301674125642302</v>
      </c>
      <c r="H97" s="41">
        <v>0.61823293653167433</v>
      </c>
      <c r="I97" s="41">
        <v>0.61671777096387148</v>
      </c>
      <c r="J97" s="41">
        <v>0.62889540877012129</v>
      </c>
      <c r="K97" s="41">
        <v>0.63151333831962109</v>
      </c>
      <c r="L97" s="41">
        <v>0.62801459464269827</v>
      </c>
      <c r="M97" s="41">
        <v>0.64414496448734293</v>
      </c>
      <c r="N97" s="41">
        <v>0.6399781141710742</v>
      </c>
      <c r="O97" s="41">
        <v>0.70621009866511897</v>
      </c>
      <c r="P97" s="41">
        <v>0.71061888012168462</v>
      </c>
      <c r="Q97" s="41">
        <v>0.69712844392704698</v>
      </c>
      <c r="R97" s="41">
        <v>0.69902828387992366</v>
      </c>
      <c r="S97" s="41">
        <v>0.71104815864022664</v>
      </c>
      <c r="T97" s="89">
        <f t="shared" si="15"/>
        <v>8.2152749870105346</v>
      </c>
      <c r="U97" s="89">
        <f t="shared" si="16"/>
        <v>0.48380599751076669</v>
      </c>
      <c r="V97" s="89">
        <f t="shared" si="17"/>
        <v>1.2019874760302973</v>
      </c>
      <c r="W97" s="26"/>
    </row>
    <row r="98" spans="1:23" x14ac:dyDescent="0.25">
      <c r="A98" s="84" t="s">
        <v>58</v>
      </c>
      <c r="B98" s="41">
        <v>0.53866917508486356</v>
      </c>
      <c r="C98" s="41">
        <v>0.57947033988656238</v>
      </c>
      <c r="D98" s="41">
        <v>0.60893878415589919</v>
      </c>
      <c r="E98" s="41">
        <v>0.61238130021913806</v>
      </c>
      <c r="F98" s="41">
        <v>0.60245615325219692</v>
      </c>
      <c r="G98" s="41">
        <v>0.60627601193326208</v>
      </c>
      <c r="H98" s="41">
        <v>0.61544044617617844</v>
      </c>
      <c r="I98" s="41">
        <v>0.61573912706711587</v>
      </c>
      <c r="J98" s="41">
        <v>0.6303196946690196</v>
      </c>
      <c r="K98" s="41">
        <v>0.64281750069373789</v>
      </c>
      <c r="L98" s="41">
        <v>0.63950771148153918</v>
      </c>
      <c r="M98" s="41">
        <v>0.65940233604692322</v>
      </c>
      <c r="N98" s="41">
        <v>0.63346233366908766</v>
      </c>
      <c r="O98" s="41">
        <v>0.65272562475721874</v>
      </c>
      <c r="P98" s="41">
        <v>0.67228902551825453</v>
      </c>
      <c r="Q98" s="41">
        <v>0.66609541710431752</v>
      </c>
      <c r="R98" s="41">
        <v>0.66052776250687195</v>
      </c>
      <c r="S98" s="41">
        <v>0.66221240368554335</v>
      </c>
      <c r="T98" s="89">
        <f t="shared" si="15"/>
        <v>3.1892709016523746</v>
      </c>
      <c r="U98" s="89">
        <f t="shared" si="16"/>
        <v>0.94867789283246129</v>
      </c>
      <c r="V98" s="89">
        <f t="shared" si="17"/>
        <v>0.16846411786713977</v>
      </c>
      <c r="W98" s="26"/>
    </row>
    <row r="99" spans="1:23" x14ac:dyDescent="0.25">
      <c r="A99" s="81" t="s">
        <v>96</v>
      </c>
      <c r="B99" s="40">
        <v>0.66658579105335991</v>
      </c>
      <c r="C99" s="40">
        <v>0.6912781111500006</v>
      </c>
      <c r="D99" s="40">
        <v>0.70922233792689326</v>
      </c>
      <c r="E99" s="40">
        <v>0.7113320616485761</v>
      </c>
      <c r="F99" s="40">
        <v>0.6846562721474132</v>
      </c>
      <c r="G99" s="40">
        <v>0.68973220651564271</v>
      </c>
      <c r="H99" s="40">
        <v>0.69461321726761271</v>
      </c>
      <c r="I99" s="40">
        <v>0.7024570399536062</v>
      </c>
      <c r="J99" s="40">
        <v>0.71157616916382926</v>
      </c>
      <c r="K99" s="40">
        <v>0.72363000835048441</v>
      </c>
      <c r="L99" s="40">
        <v>0.73983376445526472</v>
      </c>
      <c r="M99" s="40">
        <v>0.74877261002307971</v>
      </c>
      <c r="N99" s="40">
        <v>0.73562169704699432</v>
      </c>
      <c r="O99" s="40">
        <v>0.75559151532642077</v>
      </c>
      <c r="P99" s="40">
        <v>0.75558506614668253</v>
      </c>
      <c r="Q99" s="40">
        <v>0.75949903510144479</v>
      </c>
      <c r="R99" s="40">
        <v>0.76487132988940454</v>
      </c>
      <c r="S99" s="40">
        <v>0.77306330481553465</v>
      </c>
      <c r="T99" s="90">
        <f t="shared" si="15"/>
        <v>6.1487135651705387</v>
      </c>
      <c r="U99" s="90">
        <f t="shared" si="16"/>
        <v>1.7471789489113876</v>
      </c>
      <c r="V99" s="90">
        <f t="shared" si="17"/>
        <v>0.81919749261301078</v>
      </c>
      <c r="W99" s="26"/>
    </row>
    <row r="100" spans="1:23" x14ac:dyDescent="0.25">
      <c r="A100" s="21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22"/>
      <c r="U100" s="22"/>
      <c r="V100" s="23"/>
    </row>
    <row r="101" spans="1:23" x14ac:dyDescent="0.25">
      <c r="A101" s="21"/>
      <c r="B101" s="21"/>
      <c r="C101" s="21"/>
      <c r="D101" s="21"/>
      <c r="E101" s="21"/>
      <c r="F101" s="21"/>
      <c r="G101" s="21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3"/>
    </row>
    <row r="102" spans="1:23" x14ac:dyDescent="0.25">
      <c r="A102" s="82" t="s">
        <v>252</v>
      </c>
      <c r="B102" s="34"/>
      <c r="C102" s="34"/>
      <c r="D102" s="34"/>
      <c r="E102" s="34"/>
      <c r="F102" s="34"/>
      <c r="G102" s="34"/>
    </row>
    <row r="103" spans="1:23" x14ac:dyDescent="0.25">
      <c r="A103" s="5"/>
      <c r="B103" s="5"/>
      <c r="C103" s="5"/>
      <c r="D103" s="5"/>
      <c r="E103" s="5"/>
      <c r="F103" s="5"/>
      <c r="G103" s="5"/>
    </row>
    <row r="104" spans="1:23" x14ac:dyDescent="0.25">
      <c r="A104" s="29" t="s">
        <v>72</v>
      </c>
      <c r="B104" s="29"/>
      <c r="C104" s="29"/>
      <c r="D104" s="29"/>
      <c r="E104" s="29"/>
      <c r="F104" s="29"/>
      <c r="G104" s="29"/>
    </row>
  </sheetData>
  <hyperlinks>
    <hyperlink ref="A104" location="Indice!A1" display="Volver al índice" xr:uid="{00000000-0004-0000-0500-000000000000}"/>
  </hyperlink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7558519241921"/>
  </sheetPr>
  <dimension ref="A1:T262"/>
  <sheetViews>
    <sheetView showGridLines="0" zoomScale="80" zoomScaleNormal="80" workbookViewId="0">
      <pane ySplit="5" topLeftCell="A6" activePane="bottomLeft" state="frozen"/>
      <selection pane="bottomLeft" activeCell="A6" sqref="A6"/>
    </sheetView>
  </sheetViews>
  <sheetFormatPr baseColWidth="10" defaultRowHeight="15" x14ac:dyDescent="0.25"/>
  <cols>
    <col min="1" max="1" width="10.5703125" style="24" customWidth="1"/>
    <col min="2" max="2" width="54.140625" style="6" customWidth="1"/>
    <col min="3" max="15" width="9.7109375" style="6" customWidth="1"/>
    <col min="16" max="17" width="9.7109375" style="101" customWidth="1"/>
    <col min="18" max="18" width="9.28515625" style="24" customWidth="1"/>
    <col min="19" max="19" width="11.42578125" style="24"/>
    <col min="20" max="20" width="9.28515625" style="24" customWidth="1"/>
    <col min="21" max="16384" width="11.42578125" style="24"/>
  </cols>
  <sheetData>
    <row r="1" spans="1:20" ht="21" x14ac:dyDescent="0.25">
      <c r="A1" s="130" t="s">
        <v>401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20" ht="15" customHeight="1" x14ac:dyDescent="0.25">
      <c r="A2" s="70"/>
      <c r="B2" s="102"/>
      <c r="C2" s="102"/>
    </row>
    <row r="3" spans="1:20" x14ac:dyDescent="0.25">
      <c r="A3" s="54" t="s">
        <v>111</v>
      </c>
    </row>
    <row r="4" spans="1:20" x14ac:dyDescent="0.2">
      <c r="A4" s="3" t="s">
        <v>197</v>
      </c>
    </row>
    <row r="5" spans="1:20" x14ac:dyDescent="0.25">
      <c r="A5" s="5"/>
    </row>
    <row r="6" spans="1:20" ht="18" x14ac:dyDescent="0.25">
      <c r="A6" s="25" t="s">
        <v>282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20" ht="30" customHeight="1" x14ac:dyDescent="0.25">
      <c r="A7" s="39" t="s">
        <v>339</v>
      </c>
      <c r="B7" s="39" t="s">
        <v>409</v>
      </c>
      <c r="C7" s="38">
        <v>2007</v>
      </c>
      <c r="D7" s="38">
        <v>2008</v>
      </c>
      <c r="E7" s="38">
        <v>2009</v>
      </c>
      <c r="F7" s="38">
        <v>2010</v>
      </c>
      <c r="G7" s="38">
        <v>2011</v>
      </c>
      <c r="H7" s="38">
        <v>2012</v>
      </c>
      <c r="I7" s="38">
        <v>2013</v>
      </c>
      <c r="J7" s="38">
        <v>2014</v>
      </c>
      <c r="K7" s="38">
        <v>2015</v>
      </c>
      <c r="L7" s="38">
        <v>2016</v>
      </c>
      <c r="M7" s="38">
        <v>2017</v>
      </c>
      <c r="N7" s="38">
        <v>2018</v>
      </c>
      <c r="O7" s="38">
        <v>2019</v>
      </c>
      <c r="P7" s="38">
        <v>2020</v>
      </c>
      <c r="Q7" s="38">
        <v>2021</v>
      </c>
      <c r="R7" s="38">
        <v>2022</v>
      </c>
      <c r="S7" s="38">
        <v>2023</v>
      </c>
      <c r="T7" s="38">
        <v>2024</v>
      </c>
    </row>
    <row r="8" spans="1:20" x14ac:dyDescent="0.25">
      <c r="A8" s="121">
        <v>218</v>
      </c>
      <c r="B8" s="71" t="s">
        <v>194</v>
      </c>
      <c r="C8" s="16">
        <v>0.74353205849268844</v>
      </c>
      <c r="D8" s="16">
        <v>0.6381039197812215</v>
      </c>
      <c r="E8" s="41">
        <v>0.71819137749737116</v>
      </c>
      <c r="F8" s="41">
        <v>0.73209302325581394</v>
      </c>
      <c r="G8" s="41">
        <v>0.69412724306688423</v>
      </c>
      <c r="H8" s="41">
        <v>0.69569569569569567</v>
      </c>
      <c r="I8" s="41">
        <v>0.70076335877862594</v>
      </c>
      <c r="J8" s="41">
        <v>0.67883211678832112</v>
      </c>
      <c r="K8" s="41">
        <v>0.68355359765051393</v>
      </c>
      <c r="L8" s="41">
        <v>0.63421194190424957</v>
      </c>
      <c r="M8" s="41">
        <v>0.71952762547448335</v>
      </c>
      <c r="N8" s="41">
        <v>0.74424460431654671</v>
      </c>
      <c r="O8" s="41">
        <v>0.74752186588921288</v>
      </c>
      <c r="P8" s="41">
        <v>0.74143646408839781</v>
      </c>
      <c r="Q8" s="41">
        <v>0.75096631695196026</v>
      </c>
      <c r="R8" s="62">
        <v>0.67908838928241455</v>
      </c>
      <c r="S8" s="62">
        <v>0.60042621204049018</v>
      </c>
      <c r="T8" s="62">
        <v>0.60689297745529935</v>
      </c>
    </row>
    <row r="9" spans="1:20" x14ac:dyDescent="0.25">
      <c r="A9" s="121">
        <v>241</v>
      </c>
      <c r="B9" s="71" t="s">
        <v>191</v>
      </c>
      <c r="C9" s="16">
        <v>0.76190476190476186</v>
      </c>
      <c r="D9" s="16">
        <v>0.95454545454545459</v>
      </c>
      <c r="E9" s="41">
        <v>0.94736842105263153</v>
      </c>
      <c r="F9" s="41">
        <v>0.73684210526315785</v>
      </c>
      <c r="G9" s="41">
        <v>0.6</v>
      </c>
      <c r="H9" s="41">
        <v>0.96153846153846156</v>
      </c>
      <c r="I9" s="41">
        <v>1</v>
      </c>
      <c r="J9" s="41">
        <v>1</v>
      </c>
      <c r="K9" s="41">
        <v>0.75</v>
      </c>
      <c r="L9" s="41">
        <v>0.8214285714285714</v>
      </c>
      <c r="M9" s="41">
        <v>0.8</v>
      </c>
      <c r="N9" s="41">
        <v>0.85</v>
      </c>
      <c r="O9" s="41">
        <v>0.88</v>
      </c>
      <c r="P9" s="41">
        <v>0.84848484848484851</v>
      </c>
      <c r="Q9" s="62">
        <v>0.8</v>
      </c>
      <c r="R9" s="62">
        <v>0.92105263157894735</v>
      </c>
      <c r="S9" s="62">
        <v>0.78125</v>
      </c>
      <c r="T9" s="62">
        <v>0.81395348837209303</v>
      </c>
    </row>
    <row r="10" spans="1:20" x14ac:dyDescent="0.25">
      <c r="A10" s="121">
        <v>257</v>
      </c>
      <c r="B10" s="71" t="s">
        <v>190</v>
      </c>
      <c r="C10" s="16">
        <v>0.63669064748201443</v>
      </c>
      <c r="D10" s="16">
        <v>0.57823129251700678</v>
      </c>
      <c r="E10" s="16">
        <v>0.65011286681715574</v>
      </c>
      <c r="F10" s="41">
        <v>0.67272727272727273</v>
      </c>
      <c r="G10" s="41">
        <v>0.59655172413793101</v>
      </c>
      <c r="H10" s="41">
        <v>0.68796992481203012</v>
      </c>
      <c r="I10" s="41">
        <v>0.67658730158730163</v>
      </c>
      <c r="J10" s="41">
        <v>0.69053117782909934</v>
      </c>
      <c r="K10" s="41">
        <v>0.70495049504950491</v>
      </c>
      <c r="L10" s="41">
        <v>0.69833333333333336</v>
      </c>
      <c r="M10" s="41">
        <v>0.72045028142589118</v>
      </c>
      <c r="N10" s="41">
        <v>0.71400778210116733</v>
      </c>
      <c r="O10" s="41">
        <v>0.62729124236252543</v>
      </c>
      <c r="P10" s="41">
        <v>0.65478119935170176</v>
      </c>
      <c r="Q10" s="62">
        <v>0.68465909090909094</v>
      </c>
      <c r="R10" s="62">
        <v>0.69157392686804453</v>
      </c>
      <c r="S10" s="62">
        <v>0.70740103270223753</v>
      </c>
      <c r="T10" s="62">
        <v>0.61217948717948723</v>
      </c>
    </row>
    <row r="11" spans="1:20" x14ac:dyDescent="0.25">
      <c r="A11" s="121">
        <v>260</v>
      </c>
      <c r="B11" s="71" t="s">
        <v>186</v>
      </c>
      <c r="C11" s="16">
        <v>1</v>
      </c>
      <c r="D11" s="16">
        <v>0.79070378151260501</v>
      </c>
      <c r="E11" s="41">
        <v>0.87559861899988867</v>
      </c>
      <c r="F11" s="41">
        <v>0.75856460302937889</v>
      </c>
      <c r="G11" s="41">
        <v>0.72407011543394617</v>
      </c>
      <c r="H11" s="41">
        <v>0.70859018493315185</v>
      </c>
      <c r="I11" s="41">
        <v>0.64488457171691682</v>
      </c>
      <c r="J11" s="41">
        <v>0.65930963685358657</v>
      </c>
      <c r="K11" s="41">
        <v>0.65841645885286781</v>
      </c>
      <c r="L11" s="41">
        <v>0.67898555217957468</v>
      </c>
      <c r="M11" s="41">
        <v>0.68129966675211484</v>
      </c>
      <c r="N11" s="41">
        <v>0.69728587466155978</v>
      </c>
      <c r="O11" s="41">
        <v>0.67842337303415146</v>
      </c>
      <c r="P11" s="41">
        <v>0.70571848641956203</v>
      </c>
      <c r="Q11" s="62">
        <v>0.74922756794249323</v>
      </c>
      <c r="R11" s="62">
        <v>0.77463427208867697</v>
      </c>
      <c r="S11" s="62">
        <v>0.76324791841476791</v>
      </c>
      <c r="T11" s="62">
        <v>0.76912673879443583</v>
      </c>
    </row>
    <row r="12" spans="1:20" x14ac:dyDescent="0.25">
      <c r="A12" s="121">
        <v>312</v>
      </c>
      <c r="B12" s="71" t="s">
        <v>371</v>
      </c>
      <c r="C12" s="16">
        <v>0.44186046511627908</v>
      </c>
      <c r="D12" s="16" t="s">
        <v>62</v>
      </c>
      <c r="E12" s="41">
        <v>0.37333333333333335</v>
      </c>
      <c r="F12" s="41">
        <v>0.39890710382513661</v>
      </c>
      <c r="G12" s="41">
        <v>0.3559322033898305</v>
      </c>
      <c r="H12" s="41">
        <v>0</v>
      </c>
      <c r="I12" s="41">
        <v>0.4765625</v>
      </c>
      <c r="J12" s="41">
        <v>0.2711864406779661</v>
      </c>
      <c r="K12" s="41">
        <v>0.61290322580645162</v>
      </c>
      <c r="L12" s="41">
        <v>0.62962962962962965</v>
      </c>
      <c r="M12" s="41">
        <v>0.92307692307692313</v>
      </c>
      <c r="N12" s="41">
        <v>0.31313131313131315</v>
      </c>
      <c r="O12" s="41" t="s">
        <v>62</v>
      </c>
      <c r="P12" s="41">
        <v>0.68229166666666663</v>
      </c>
      <c r="Q12" s="62">
        <v>1.1976047904191617E-2</v>
      </c>
      <c r="R12" s="62">
        <v>0.625</v>
      </c>
      <c r="S12" s="62" t="s">
        <v>62</v>
      </c>
      <c r="T12" s="62">
        <v>0.86399999999999999</v>
      </c>
    </row>
    <row r="13" spans="1:20" x14ac:dyDescent="0.25">
      <c r="A13" s="121">
        <v>319</v>
      </c>
      <c r="B13" s="71" t="s">
        <v>372</v>
      </c>
      <c r="C13" s="16">
        <v>0.8</v>
      </c>
      <c r="D13" s="16">
        <v>0.75471698113207553</v>
      </c>
      <c r="E13" s="41">
        <v>0.77160493827160492</v>
      </c>
      <c r="F13" s="41">
        <v>0.57659574468085106</v>
      </c>
      <c r="G13" s="41">
        <v>0.52350081037277152</v>
      </c>
      <c r="H13" s="41">
        <v>0.57763975155279501</v>
      </c>
      <c r="I13" s="41">
        <v>0.44</v>
      </c>
      <c r="J13" s="41">
        <v>0.51162790697674421</v>
      </c>
      <c r="K13" s="41">
        <v>0.46357615894039733</v>
      </c>
      <c r="L13" s="41">
        <v>0.65671641791044777</v>
      </c>
      <c r="M13" s="41">
        <v>0.6953125</v>
      </c>
      <c r="N13" s="41">
        <v>0.71323529411764708</v>
      </c>
      <c r="O13" s="41">
        <v>0.61818181818181817</v>
      </c>
      <c r="P13" s="41" t="s">
        <v>62</v>
      </c>
      <c r="Q13" s="62">
        <v>0.94690265486725667</v>
      </c>
      <c r="R13" s="62" t="s">
        <v>62</v>
      </c>
      <c r="S13" s="62" t="s">
        <v>62</v>
      </c>
      <c r="T13" s="62">
        <v>0.78358208955223885</v>
      </c>
    </row>
    <row r="14" spans="1:20" x14ac:dyDescent="0.25">
      <c r="A14" s="121">
        <v>367</v>
      </c>
      <c r="B14" s="71" t="s">
        <v>226</v>
      </c>
      <c r="C14" s="16">
        <v>0.64634146341463417</v>
      </c>
      <c r="D14" s="16">
        <v>0.69601677148846963</v>
      </c>
      <c r="E14" s="41">
        <v>0.73134328358208955</v>
      </c>
      <c r="F14" s="41">
        <v>0.76012145748987858</v>
      </c>
      <c r="G14" s="41">
        <v>0.72764227642276424</v>
      </c>
      <c r="H14" s="41">
        <v>0.72576832151300241</v>
      </c>
      <c r="I14" s="41">
        <v>0.68192771084337345</v>
      </c>
      <c r="J14" s="41">
        <v>0.74663835810332624</v>
      </c>
      <c r="K14" s="41">
        <v>0.71642685851318944</v>
      </c>
      <c r="L14" s="41">
        <v>0.74352331606217614</v>
      </c>
      <c r="M14" s="41">
        <v>0.78284923928077454</v>
      </c>
      <c r="N14" s="41">
        <v>0.77512355848434922</v>
      </c>
      <c r="O14" s="41">
        <v>0.76893779094371562</v>
      </c>
      <c r="P14" s="41">
        <v>0.76723858853998061</v>
      </c>
      <c r="Q14" s="62">
        <v>0.69848156182212584</v>
      </c>
      <c r="R14" s="62">
        <v>0.71166054126294687</v>
      </c>
      <c r="S14" s="62">
        <v>0.67708658955923728</v>
      </c>
      <c r="T14" s="62">
        <v>0.68238138410395888</v>
      </c>
    </row>
    <row r="15" spans="1:20" x14ac:dyDescent="0.25">
      <c r="A15" s="121">
        <v>382</v>
      </c>
      <c r="B15" s="71" t="s">
        <v>196</v>
      </c>
      <c r="C15" s="16">
        <v>0.47272727272727272</v>
      </c>
      <c r="D15" s="16">
        <v>0.51428571428571423</v>
      </c>
      <c r="E15" s="41">
        <v>0.49</v>
      </c>
      <c r="F15" s="41">
        <v>0.48780487804878048</v>
      </c>
      <c r="G15" s="41">
        <v>0.51428571428571423</v>
      </c>
      <c r="H15" s="41">
        <v>0.6371308016877637</v>
      </c>
      <c r="I15" s="41">
        <v>0.45744680851063829</v>
      </c>
      <c r="J15" s="41">
        <v>0.52173913043478259</v>
      </c>
      <c r="K15" s="41">
        <v>0.56603773584905659</v>
      </c>
      <c r="L15" s="41">
        <v>0.5</v>
      </c>
      <c r="M15" s="41">
        <v>0.5</v>
      </c>
      <c r="N15" s="41">
        <v>0.65822784810126578</v>
      </c>
      <c r="O15" s="41">
        <v>0.52112676056338025</v>
      </c>
      <c r="P15" s="41">
        <v>0.68181818181818177</v>
      </c>
      <c r="Q15" s="62">
        <v>0.62</v>
      </c>
      <c r="R15" s="62">
        <v>0.79710144927536231</v>
      </c>
      <c r="S15" s="62">
        <v>0.66216216216216217</v>
      </c>
      <c r="T15" s="62">
        <v>0.68965517241379315</v>
      </c>
    </row>
    <row r="16" spans="1:20" x14ac:dyDescent="0.25">
      <c r="A16" s="121">
        <v>427</v>
      </c>
      <c r="B16" s="71" t="s">
        <v>189</v>
      </c>
      <c r="C16" s="16">
        <v>0.42562929061784899</v>
      </c>
      <c r="D16" s="16">
        <v>0.79487179487179482</v>
      </c>
      <c r="E16" s="41">
        <v>0.25751072961373389</v>
      </c>
      <c r="F16" s="41">
        <v>0.27131782945736432</v>
      </c>
      <c r="G16" s="41">
        <v>0.20320855614973263</v>
      </c>
      <c r="H16" s="41" t="s">
        <v>62</v>
      </c>
      <c r="I16" s="41" t="s">
        <v>62</v>
      </c>
      <c r="J16" s="41" t="s">
        <v>62</v>
      </c>
      <c r="K16" s="41">
        <v>0.4041095890410959</v>
      </c>
      <c r="L16" s="41">
        <v>0.56653992395437258</v>
      </c>
      <c r="M16" s="41">
        <v>0.61881188118811881</v>
      </c>
      <c r="N16" s="41">
        <v>0.60220994475138123</v>
      </c>
      <c r="O16" s="41">
        <v>0.65653495440729481</v>
      </c>
      <c r="P16" s="41">
        <v>0.63366336633663367</v>
      </c>
      <c r="Q16" s="62">
        <v>0.63143631436314362</v>
      </c>
      <c r="R16" s="62">
        <v>0.5161290322580645</v>
      </c>
      <c r="S16" s="62">
        <v>0.60450160771704176</v>
      </c>
      <c r="T16" s="62">
        <v>0.3825503355704698</v>
      </c>
    </row>
    <row r="17" spans="1:20" x14ac:dyDescent="0.25">
      <c r="A17" s="121">
        <v>430</v>
      </c>
      <c r="B17" s="71" t="s">
        <v>192</v>
      </c>
      <c r="C17" s="16">
        <v>0.61332850416515761</v>
      </c>
      <c r="D17" s="16">
        <v>0.63902747079254818</v>
      </c>
      <c r="E17" s="41">
        <v>0.67227705825298112</v>
      </c>
      <c r="F17" s="41">
        <v>0.67978032950574141</v>
      </c>
      <c r="G17" s="41">
        <v>0.6542879392582498</v>
      </c>
      <c r="H17" s="41">
        <v>0.6729770049899686</v>
      </c>
      <c r="I17" s="41">
        <v>0.67403394381052828</v>
      </c>
      <c r="J17" s="41">
        <v>0.67438299405512525</v>
      </c>
      <c r="K17" s="41">
        <v>0.67915668873550261</v>
      </c>
      <c r="L17" s="41">
        <v>0.68645527773897663</v>
      </c>
      <c r="M17" s="41">
        <v>0.7146825396825397</v>
      </c>
      <c r="N17" s="41">
        <v>0.70776953295504141</v>
      </c>
      <c r="O17" s="41">
        <v>0.68510710069151626</v>
      </c>
      <c r="P17" s="41">
        <v>0.63574390999666297</v>
      </c>
      <c r="Q17" s="62">
        <v>0.66623849282808822</v>
      </c>
      <c r="R17" s="62">
        <v>0.71727253624711074</v>
      </c>
      <c r="S17" s="62">
        <v>0.72069526910553539</v>
      </c>
      <c r="T17" s="62">
        <v>0.71735439289239877</v>
      </c>
    </row>
    <row r="18" spans="1:20" x14ac:dyDescent="0.25">
      <c r="A18" s="121">
        <v>435</v>
      </c>
      <c r="B18" s="71" t="s">
        <v>193</v>
      </c>
      <c r="C18" s="16">
        <v>0.6508474576271186</v>
      </c>
      <c r="D18" s="16">
        <v>0.64583333333333337</v>
      </c>
      <c r="E18" s="41">
        <v>0.65237020316027083</v>
      </c>
      <c r="F18" s="41">
        <v>0.65</v>
      </c>
      <c r="G18" s="41">
        <v>0.676056338028169</v>
      </c>
      <c r="H18" s="41">
        <v>0.66502463054187189</v>
      </c>
      <c r="I18" s="41">
        <v>0.66050808314087761</v>
      </c>
      <c r="J18" s="41">
        <v>0.65723793677204656</v>
      </c>
      <c r="K18" s="41">
        <v>0.70298165137614677</v>
      </c>
      <c r="L18" s="41">
        <v>0.69764837625979848</v>
      </c>
      <c r="M18" s="41">
        <v>0.66454891994917409</v>
      </c>
      <c r="N18" s="41">
        <v>0.642578125</v>
      </c>
      <c r="O18" s="41">
        <v>0.38738738738738737</v>
      </c>
      <c r="P18" s="41">
        <v>0.47368421052631576</v>
      </c>
      <c r="Q18" s="62">
        <v>0.65591397849462363</v>
      </c>
      <c r="R18" s="62">
        <v>0.58333333333333337</v>
      </c>
      <c r="S18" s="62">
        <v>0.55942028985507242</v>
      </c>
      <c r="T18" s="62">
        <v>0.67464114832535882</v>
      </c>
    </row>
    <row r="19" spans="1:20" x14ac:dyDescent="0.25">
      <c r="A19" s="121">
        <v>450</v>
      </c>
      <c r="B19" s="71" t="s">
        <v>188</v>
      </c>
      <c r="C19" s="16">
        <v>0.64154411764705888</v>
      </c>
      <c r="D19" s="16">
        <v>0.58021712907117007</v>
      </c>
      <c r="E19" s="41">
        <v>0.63405336721728078</v>
      </c>
      <c r="F19" s="41">
        <v>0.67189542483660136</v>
      </c>
      <c r="G19" s="41">
        <v>0.61610738255033559</v>
      </c>
      <c r="H19" s="41">
        <v>0.64179104477611937</v>
      </c>
      <c r="I19" s="41">
        <v>0.6732394366197183</v>
      </c>
      <c r="J19" s="41">
        <v>0.71447368421052626</v>
      </c>
      <c r="K19" s="41">
        <v>0.73305084745762716</v>
      </c>
      <c r="L19" s="41">
        <v>0.73428571428571432</v>
      </c>
      <c r="M19" s="41">
        <v>0.67325428194993409</v>
      </c>
      <c r="N19" s="41">
        <v>0.64366197183098595</v>
      </c>
      <c r="O19" s="41">
        <v>0.70270270270270274</v>
      </c>
      <c r="P19" s="41">
        <v>0.5967078189300411</v>
      </c>
      <c r="Q19" s="62">
        <v>0.63152709359605907</v>
      </c>
      <c r="R19" s="62">
        <v>0.61426844014510273</v>
      </c>
      <c r="S19" s="62">
        <v>0.63119709794437728</v>
      </c>
      <c r="T19" s="62">
        <v>0.56112852664576807</v>
      </c>
    </row>
    <row r="20" spans="1:20" x14ac:dyDescent="0.25">
      <c r="A20" s="121">
        <v>456</v>
      </c>
      <c r="B20" s="71" t="s">
        <v>195</v>
      </c>
      <c r="C20" s="16">
        <v>0.58606557377049184</v>
      </c>
      <c r="D20" s="16">
        <v>0.61230329041487841</v>
      </c>
      <c r="E20" s="41">
        <v>0.59062885326757086</v>
      </c>
      <c r="F20" s="41" t="s">
        <v>62</v>
      </c>
      <c r="G20" s="41">
        <v>0.59687123947051746</v>
      </c>
      <c r="H20" s="41">
        <v>0.62933930571108621</v>
      </c>
      <c r="I20" s="41">
        <v>0.64383561643835618</v>
      </c>
      <c r="J20" s="41">
        <v>0.62118320610687028</v>
      </c>
      <c r="K20" s="41">
        <v>0.58855098389982108</v>
      </c>
      <c r="L20" s="41">
        <v>0.65543071161048694</v>
      </c>
      <c r="M20" s="41">
        <v>0.71590909090909094</v>
      </c>
      <c r="N20" s="41">
        <v>0.71781067743382687</v>
      </c>
      <c r="O20" s="41">
        <v>0.68909012505390255</v>
      </c>
      <c r="P20" s="41">
        <v>0.68515123739688355</v>
      </c>
      <c r="Q20" s="62">
        <v>0.67745146839223491</v>
      </c>
      <c r="R20" s="62">
        <v>0.67645429362880882</v>
      </c>
      <c r="S20" s="62">
        <v>0.69021190716448033</v>
      </c>
      <c r="T20" s="62">
        <v>0.67636867636867637</v>
      </c>
    </row>
    <row r="21" spans="1:20" x14ac:dyDescent="0.25">
      <c r="A21" s="121">
        <v>629</v>
      </c>
      <c r="B21" s="71" t="s">
        <v>227</v>
      </c>
      <c r="C21" s="16">
        <v>0.48996655518394649</v>
      </c>
      <c r="D21" s="16">
        <v>0.54166666666666663</v>
      </c>
      <c r="E21" s="41">
        <v>0.54533152909336946</v>
      </c>
      <c r="F21" s="41">
        <v>0.4828897338403042</v>
      </c>
      <c r="G21" s="41">
        <v>0.53384615384615386</v>
      </c>
      <c r="H21" s="41">
        <v>0.58759689922480618</v>
      </c>
      <c r="I21" s="41">
        <v>0.55821371610845294</v>
      </c>
      <c r="J21" s="41">
        <v>0.66706443914081148</v>
      </c>
      <c r="K21" s="41">
        <v>0.66344725111441305</v>
      </c>
      <c r="L21" s="41">
        <v>0.62475822050290131</v>
      </c>
      <c r="M21" s="41">
        <v>0.6527545909849749</v>
      </c>
      <c r="N21" s="41">
        <v>0.77480743090167647</v>
      </c>
      <c r="O21" s="41">
        <v>0.7853285328532853</v>
      </c>
      <c r="P21" s="41">
        <v>0.80301685891747998</v>
      </c>
      <c r="Q21" s="41">
        <v>0.74145217057241641</v>
      </c>
      <c r="R21" s="62">
        <v>0.74334053275737944</v>
      </c>
      <c r="S21" s="62">
        <v>0.81344032096288865</v>
      </c>
      <c r="T21" s="62">
        <v>0.7614942528735632</v>
      </c>
    </row>
    <row r="22" spans="1:20" x14ac:dyDescent="0.25">
      <c r="A22" s="121">
        <v>633</v>
      </c>
      <c r="B22" s="71" t="s">
        <v>185</v>
      </c>
      <c r="C22" s="16">
        <v>0.56198347107438018</v>
      </c>
      <c r="D22" s="16">
        <v>0.57668711656441718</v>
      </c>
      <c r="E22" s="41">
        <v>0.65346534653465349</v>
      </c>
      <c r="F22" s="41">
        <v>0.64184397163120566</v>
      </c>
      <c r="G22" s="41">
        <v>0.66333333333333333</v>
      </c>
      <c r="H22" s="41">
        <v>0.73520249221183798</v>
      </c>
      <c r="I22" s="41">
        <v>0.72483221476510062</v>
      </c>
      <c r="J22" s="41">
        <v>0.67155425219941345</v>
      </c>
      <c r="K22" s="41">
        <v>0.65441176470588236</v>
      </c>
      <c r="L22" s="41">
        <v>0.75502008032128509</v>
      </c>
      <c r="M22" s="41">
        <v>0.72122302158273377</v>
      </c>
      <c r="N22" s="41">
        <v>0.72504091653027825</v>
      </c>
      <c r="O22" s="41">
        <v>0.63303909205548548</v>
      </c>
      <c r="P22" s="41">
        <v>0.68327974276527326</v>
      </c>
      <c r="Q22" s="41">
        <v>0.68576104746317512</v>
      </c>
      <c r="R22" s="62">
        <v>0.65861513687600648</v>
      </c>
      <c r="S22" s="62">
        <v>0.61326860841423947</v>
      </c>
      <c r="T22" s="62">
        <v>0.60251046025104604</v>
      </c>
    </row>
    <row r="23" spans="1:20" x14ac:dyDescent="0.25">
      <c r="A23" s="121">
        <v>701</v>
      </c>
      <c r="B23" s="71" t="s">
        <v>187</v>
      </c>
      <c r="C23" s="41">
        <v>0.5256024096385542</v>
      </c>
      <c r="D23" s="41">
        <v>0.72053872053872059</v>
      </c>
      <c r="E23" s="41">
        <v>0.6826625386996904</v>
      </c>
      <c r="F23" s="41">
        <v>0.66022544283413853</v>
      </c>
      <c r="G23" s="41">
        <v>0.66371681415929207</v>
      </c>
      <c r="H23" s="41">
        <v>0.64579901153212516</v>
      </c>
      <c r="I23" s="41">
        <v>0.6648841354723708</v>
      </c>
      <c r="J23" s="41">
        <v>0.66200466200466201</v>
      </c>
      <c r="K23" s="41">
        <v>0.70329670329670335</v>
      </c>
      <c r="L23" s="41">
        <v>0.65</v>
      </c>
      <c r="M23" s="41">
        <v>0.65217391304347827</v>
      </c>
      <c r="N23" s="41">
        <v>0.68881118881118886</v>
      </c>
      <c r="O23" s="41">
        <v>0.6</v>
      </c>
      <c r="P23" s="41">
        <v>0.55060728744939269</v>
      </c>
      <c r="Q23" s="41">
        <v>0.51873198847262247</v>
      </c>
      <c r="R23" s="62">
        <v>0.59649122807017541</v>
      </c>
      <c r="S23" s="62">
        <v>0.42424242424242425</v>
      </c>
      <c r="T23" s="62">
        <v>0.40137614678899081</v>
      </c>
    </row>
    <row r="24" spans="1:20" x14ac:dyDescent="0.25">
      <c r="A24" s="121">
        <v>730</v>
      </c>
      <c r="B24" s="71" t="s">
        <v>225</v>
      </c>
      <c r="C24" s="16" t="s">
        <v>62</v>
      </c>
      <c r="D24" s="16" t="s">
        <v>62</v>
      </c>
      <c r="E24" s="41" t="s">
        <v>62</v>
      </c>
      <c r="F24" s="41">
        <v>0.84210526315789469</v>
      </c>
      <c r="G24" s="41">
        <v>0.79220779220779225</v>
      </c>
      <c r="H24" s="41">
        <v>0.72463768115942029</v>
      </c>
      <c r="I24" s="41">
        <v>0.84</v>
      </c>
      <c r="J24" s="41" t="s">
        <v>62</v>
      </c>
      <c r="K24" s="41">
        <v>0.87912087912087911</v>
      </c>
      <c r="L24" s="41">
        <v>0</v>
      </c>
      <c r="M24" s="41">
        <v>0.14634146341463414</v>
      </c>
      <c r="N24" s="41">
        <v>0.87254901960784315</v>
      </c>
      <c r="O24" s="41">
        <v>0.56521739130434778</v>
      </c>
      <c r="P24" s="41">
        <v>1</v>
      </c>
      <c r="Q24" s="62">
        <v>0.76229508196721307</v>
      </c>
      <c r="R24" s="62">
        <v>0.56976744186046513</v>
      </c>
      <c r="S24" s="62">
        <v>0.83495145631067957</v>
      </c>
      <c r="T24" s="62">
        <v>0.73333333333333328</v>
      </c>
    </row>
    <row r="25" spans="1:20" x14ac:dyDescent="0.25">
      <c r="A25" s="121">
        <v>902</v>
      </c>
      <c r="B25" s="71" t="s">
        <v>315</v>
      </c>
      <c r="C25" s="16" t="s">
        <v>62</v>
      </c>
      <c r="D25" s="16" t="s">
        <v>62</v>
      </c>
      <c r="E25" s="41" t="s">
        <v>62</v>
      </c>
      <c r="F25" s="41" t="s">
        <v>62</v>
      </c>
      <c r="G25" s="41" t="s">
        <v>62</v>
      </c>
      <c r="H25" s="41" t="s">
        <v>62</v>
      </c>
      <c r="I25" s="41" t="s">
        <v>62</v>
      </c>
      <c r="J25" s="41" t="s">
        <v>62</v>
      </c>
      <c r="K25" s="41" t="s">
        <v>62</v>
      </c>
      <c r="L25" s="41" t="s">
        <v>62</v>
      </c>
      <c r="M25" s="41" t="s">
        <v>62</v>
      </c>
      <c r="N25" s="41" t="s">
        <v>62</v>
      </c>
      <c r="O25" s="41" t="s">
        <v>62</v>
      </c>
      <c r="P25" s="41" t="s">
        <v>62</v>
      </c>
      <c r="Q25" s="62">
        <v>0.7365339578454333</v>
      </c>
      <c r="R25" s="62">
        <v>0.74856486796785304</v>
      </c>
      <c r="S25" s="62">
        <v>0.70267379679144382</v>
      </c>
      <c r="T25" s="62">
        <v>0.70416362308254199</v>
      </c>
    </row>
    <row r="26" spans="1:20" x14ac:dyDescent="0.25">
      <c r="A26" s="121">
        <v>906</v>
      </c>
      <c r="B26" s="71" t="s">
        <v>237</v>
      </c>
      <c r="C26" s="16" t="s">
        <v>62</v>
      </c>
      <c r="D26" s="16" t="s">
        <v>62</v>
      </c>
      <c r="E26" s="41" t="s">
        <v>62</v>
      </c>
      <c r="F26" s="41" t="s">
        <v>62</v>
      </c>
      <c r="G26" s="41" t="s">
        <v>62</v>
      </c>
      <c r="H26" s="41" t="s">
        <v>62</v>
      </c>
      <c r="I26" s="41" t="s">
        <v>62</v>
      </c>
      <c r="J26" s="41" t="s">
        <v>62</v>
      </c>
      <c r="K26" s="41" t="s">
        <v>62</v>
      </c>
      <c r="L26" s="41" t="s">
        <v>62</v>
      </c>
      <c r="M26" s="41" t="s">
        <v>62</v>
      </c>
      <c r="N26" s="41" t="s">
        <v>62</v>
      </c>
      <c r="O26" s="41">
        <v>0.6</v>
      </c>
      <c r="P26" s="41">
        <v>0.61224489795918369</v>
      </c>
      <c r="Q26" s="41">
        <v>0.57534246575342463</v>
      </c>
      <c r="R26" s="62">
        <v>0.65309734513274331</v>
      </c>
      <c r="S26" s="62">
        <v>0.69622093023255816</v>
      </c>
      <c r="T26" s="62">
        <v>0.69264705882352939</v>
      </c>
    </row>
    <row r="27" spans="1:20" x14ac:dyDescent="0.25">
      <c r="A27" s="121">
        <v>908</v>
      </c>
      <c r="B27" s="71" t="s">
        <v>285</v>
      </c>
      <c r="C27" s="16" t="s">
        <v>62</v>
      </c>
      <c r="D27" s="16" t="s">
        <v>62</v>
      </c>
      <c r="E27" s="41" t="s">
        <v>62</v>
      </c>
      <c r="F27" s="41" t="s">
        <v>62</v>
      </c>
      <c r="G27" s="41" t="s">
        <v>62</v>
      </c>
      <c r="H27" s="41" t="s">
        <v>62</v>
      </c>
      <c r="I27" s="41" t="s">
        <v>62</v>
      </c>
      <c r="J27" s="41" t="s">
        <v>62</v>
      </c>
      <c r="K27" s="41" t="s">
        <v>62</v>
      </c>
      <c r="L27" s="41" t="s">
        <v>62</v>
      </c>
      <c r="M27" s="41" t="s">
        <v>62</v>
      </c>
      <c r="N27" s="41" t="s">
        <v>62</v>
      </c>
      <c r="O27" s="41" t="s">
        <v>62</v>
      </c>
      <c r="P27" s="41">
        <v>0.83870967741935487</v>
      </c>
      <c r="Q27" s="62">
        <v>0.74015748031496065</v>
      </c>
      <c r="R27" s="62">
        <v>0.63432835820895528</v>
      </c>
      <c r="S27" s="62">
        <v>0.61486486486486491</v>
      </c>
      <c r="T27" s="62">
        <v>0.62403100775193798</v>
      </c>
    </row>
    <row r="28" spans="1:20" x14ac:dyDescent="0.25">
      <c r="A28" s="121">
        <v>909</v>
      </c>
      <c r="B28" s="71" t="s">
        <v>316</v>
      </c>
      <c r="C28" s="16" t="s">
        <v>62</v>
      </c>
      <c r="D28" s="16" t="s">
        <v>62</v>
      </c>
      <c r="E28" s="41" t="s">
        <v>62</v>
      </c>
      <c r="F28" s="41" t="s">
        <v>62</v>
      </c>
      <c r="G28" s="41" t="s">
        <v>62</v>
      </c>
      <c r="H28" s="41" t="s">
        <v>62</v>
      </c>
      <c r="I28" s="41" t="s">
        <v>62</v>
      </c>
      <c r="J28" s="41" t="s">
        <v>62</v>
      </c>
      <c r="K28" s="41" t="s">
        <v>62</v>
      </c>
      <c r="L28" s="41" t="s">
        <v>62</v>
      </c>
      <c r="M28" s="41" t="s">
        <v>62</v>
      </c>
      <c r="N28" s="41" t="s">
        <v>62</v>
      </c>
      <c r="O28" s="41" t="s">
        <v>62</v>
      </c>
      <c r="P28" s="41" t="s">
        <v>62</v>
      </c>
      <c r="Q28" s="62">
        <v>0.75</v>
      </c>
      <c r="R28" s="62">
        <v>0.66153846153846152</v>
      </c>
      <c r="S28" s="62">
        <v>0.63963963963963966</v>
      </c>
      <c r="T28" s="62">
        <v>0.58744394618834084</v>
      </c>
    </row>
    <row r="29" spans="1:20" x14ac:dyDescent="0.25">
      <c r="A29" s="121">
        <v>910</v>
      </c>
      <c r="B29" s="71" t="s">
        <v>236</v>
      </c>
      <c r="C29" s="16" t="s">
        <v>62</v>
      </c>
      <c r="D29" s="16" t="s">
        <v>62</v>
      </c>
      <c r="E29" s="41" t="s">
        <v>62</v>
      </c>
      <c r="F29" s="41" t="s">
        <v>62</v>
      </c>
      <c r="G29" s="41" t="s">
        <v>62</v>
      </c>
      <c r="H29" s="41" t="s">
        <v>62</v>
      </c>
      <c r="I29" s="41" t="s">
        <v>62</v>
      </c>
      <c r="J29" s="41" t="s">
        <v>62</v>
      </c>
      <c r="K29" s="41" t="s">
        <v>62</v>
      </c>
      <c r="L29" s="41" t="s">
        <v>62</v>
      </c>
      <c r="M29" s="41" t="s">
        <v>62</v>
      </c>
      <c r="N29" s="41" t="s">
        <v>62</v>
      </c>
      <c r="O29" s="41">
        <v>0.68902439024390238</v>
      </c>
      <c r="P29" s="41">
        <v>0.70718232044198892</v>
      </c>
      <c r="Q29" s="62">
        <v>0.66756756756756752</v>
      </c>
      <c r="R29" s="62">
        <v>0.67518248175182483</v>
      </c>
      <c r="S29" s="62">
        <v>0.69892473118279574</v>
      </c>
      <c r="T29" s="62">
        <v>0.58992805755395683</v>
      </c>
    </row>
    <row r="30" spans="1:20" x14ac:dyDescent="0.25">
      <c r="A30" s="121">
        <v>911</v>
      </c>
      <c r="B30" s="71" t="s">
        <v>286</v>
      </c>
      <c r="C30" s="16" t="s">
        <v>62</v>
      </c>
      <c r="D30" s="16" t="s">
        <v>62</v>
      </c>
      <c r="E30" s="41" t="s">
        <v>62</v>
      </c>
      <c r="F30" s="41" t="s">
        <v>62</v>
      </c>
      <c r="G30" s="41" t="s">
        <v>62</v>
      </c>
      <c r="H30" s="41" t="s">
        <v>62</v>
      </c>
      <c r="I30" s="41" t="s">
        <v>62</v>
      </c>
      <c r="J30" s="41" t="s">
        <v>62</v>
      </c>
      <c r="K30" s="41" t="s">
        <v>62</v>
      </c>
      <c r="L30" s="41" t="s">
        <v>62</v>
      </c>
      <c r="M30" s="41" t="s">
        <v>62</v>
      </c>
      <c r="N30" s="41" t="s">
        <v>62</v>
      </c>
      <c r="O30" s="41" t="s">
        <v>62</v>
      </c>
      <c r="P30" s="41">
        <v>0.69151670951156807</v>
      </c>
      <c r="Q30" s="62">
        <v>0.60277777777777775</v>
      </c>
      <c r="R30" s="62">
        <v>0.64155251141552516</v>
      </c>
      <c r="S30" s="62">
        <v>0.64256480218281031</v>
      </c>
      <c r="T30" s="62">
        <v>0.62716049382716055</v>
      </c>
    </row>
    <row r="31" spans="1:20" x14ac:dyDescent="0.25">
      <c r="A31" s="121">
        <v>912</v>
      </c>
      <c r="B31" s="71" t="s">
        <v>287</v>
      </c>
      <c r="C31" s="16" t="s">
        <v>62</v>
      </c>
      <c r="D31" s="16" t="s">
        <v>62</v>
      </c>
      <c r="E31" s="41" t="s">
        <v>62</v>
      </c>
      <c r="F31" s="41" t="s">
        <v>62</v>
      </c>
      <c r="G31" s="41" t="s">
        <v>62</v>
      </c>
      <c r="H31" s="41" t="s">
        <v>62</v>
      </c>
      <c r="I31" s="41" t="s">
        <v>62</v>
      </c>
      <c r="J31" s="41" t="s">
        <v>62</v>
      </c>
      <c r="K31" s="41" t="s">
        <v>62</v>
      </c>
      <c r="L31" s="41" t="s">
        <v>62</v>
      </c>
      <c r="M31" s="41" t="s">
        <v>62</v>
      </c>
      <c r="N31" s="41" t="s">
        <v>62</v>
      </c>
      <c r="O31" s="41" t="s">
        <v>62</v>
      </c>
      <c r="P31" s="41">
        <v>0.58536585365853655</v>
      </c>
      <c r="Q31" s="62">
        <v>0.47872340425531917</v>
      </c>
      <c r="R31" s="62">
        <v>0.52459016393442626</v>
      </c>
      <c r="S31" s="62">
        <v>0.50381679389312972</v>
      </c>
      <c r="T31" s="62">
        <v>0.64730290456431538</v>
      </c>
    </row>
    <row r="32" spans="1:20" x14ac:dyDescent="0.25">
      <c r="A32" s="121">
        <v>913</v>
      </c>
      <c r="B32" s="71" t="s">
        <v>323</v>
      </c>
      <c r="C32" s="16" t="s">
        <v>62</v>
      </c>
      <c r="D32" s="16" t="s">
        <v>62</v>
      </c>
      <c r="E32" s="41" t="s">
        <v>62</v>
      </c>
      <c r="F32" s="41" t="s">
        <v>62</v>
      </c>
      <c r="G32" s="41" t="s">
        <v>62</v>
      </c>
      <c r="H32" s="41" t="s">
        <v>62</v>
      </c>
      <c r="I32" s="41" t="s">
        <v>62</v>
      </c>
      <c r="J32" s="41" t="s">
        <v>62</v>
      </c>
      <c r="K32" s="41" t="s">
        <v>62</v>
      </c>
      <c r="L32" s="41" t="s">
        <v>62</v>
      </c>
      <c r="M32" s="41" t="s">
        <v>62</v>
      </c>
      <c r="N32" s="41" t="s">
        <v>62</v>
      </c>
      <c r="O32" s="41" t="s">
        <v>62</v>
      </c>
      <c r="P32" s="41" t="s">
        <v>62</v>
      </c>
      <c r="Q32" s="62" t="s">
        <v>62</v>
      </c>
      <c r="R32" s="62">
        <v>0.83760683760683763</v>
      </c>
      <c r="S32" s="62">
        <v>0.81748071979434445</v>
      </c>
      <c r="T32" s="62">
        <v>0.71985815602836878</v>
      </c>
    </row>
    <row r="33" spans="1:20" x14ac:dyDescent="0.25">
      <c r="A33" s="121">
        <v>914</v>
      </c>
      <c r="B33" s="71" t="s">
        <v>228</v>
      </c>
      <c r="C33" s="16" t="s">
        <v>62</v>
      </c>
      <c r="D33" s="16" t="s">
        <v>62</v>
      </c>
      <c r="E33" s="41" t="s">
        <v>62</v>
      </c>
      <c r="F33" s="41" t="s">
        <v>62</v>
      </c>
      <c r="G33" s="41" t="s">
        <v>62</v>
      </c>
      <c r="H33" s="41" t="s">
        <v>62</v>
      </c>
      <c r="I33" s="41" t="s">
        <v>62</v>
      </c>
      <c r="J33" s="41" t="s">
        <v>62</v>
      </c>
      <c r="K33" s="41" t="s">
        <v>62</v>
      </c>
      <c r="L33" s="41" t="s">
        <v>62</v>
      </c>
      <c r="M33" s="41" t="s">
        <v>62</v>
      </c>
      <c r="N33" s="41">
        <v>0.67521367521367526</v>
      </c>
      <c r="O33" s="41">
        <v>0.66202090592334495</v>
      </c>
      <c r="P33" s="41">
        <v>0.63197026022304836</v>
      </c>
      <c r="Q33" s="62">
        <v>0.62204724409448819</v>
      </c>
      <c r="R33" s="62">
        <v>0.70656370656370659</v>
      </c>
      <c r="S33" s="62">
        <v>0.7377483443708609</v>
      </c>
      <c r="T33" s="62">
        <v>0.6992481203007519</v>
      </c>
    </row>
    <row r="34" spans="1:20" x14ac:dyDescent="0.25">
      <c r="A34" s="121">
        <v>915</v>
      </c>
      <c r="B34" s="71" t="s">
        <v>324</v>
      </c>
      <c r="C34" s="16" t="s">
        <v>62</v>
      </c>
      <c r="D34" s="16" t="s">
        <v>62</v>
      </c>
      <c r="E34" s="41" t="s">
        <v>62</v>
      </c>
      <c r="F34" s="41" t="s">
        <v>62</v>
      </c>
      <c r="G34" s="41" t="s">
        <v>62</v>
      </c>
      <c r="H34" s="41" t="s">
        <v>62</v>
      </c>
      <c r="I34" s="41" t="s">
        <v>62</v>
      </c>
      <c r="J34" s="41" t="s">
        <v>62</v>
      </c>
      <c r="K34" s="41" t="s">
        <v>62</v>
      </c>
      <c r="L34" s="41" t="s">
        <v>62</v>
      </c>
      <c r="M34" s="41" t="s">
        <v>62</v>
      </c>
      <c r="N34" s="41" t="s">
        <v>62</v>
      </c>
      <c r="O34" s="41" t="s">
        <v>62</v>
      </c>
      <c r="P34" s="41" t="s">
        <v>62</v>
      </c>
      <c r="Q34" s="62" t="s">
        <v>62</v>
      </c>
      <c r="R34" s="62">
        <v>0.82524271844660191</v>
      </c>
      <c r="S34" s="62">
        <v>0.75789473684210529</v>
      </c>
      <c r="T34" s="62">
        <v>0.70615034168564916</v>
      </c>
    </row>
    <row r="35" spans="1:20" x14ac:dyDescent="0.25">
      <c r="A35" s="121">
        <v>916</v>
      </c>
      <c r="B35" s="71" t="s">
        <v>229</v>
      </c>
      <c r="C35" s="16" t="s">
        <v>62</v>
      </c>
      <c r="D35" s="16" t="s">
        <v>62</v>
      </c>
      <c r="E35" s="41" t="s">
        <v>62</v>
      </c>
      <c r="F35" s="41" t="s">
        <v>62</v>
      </c>
      <c r="G35" s="41" t="s">
        <v>62</v>
      </c>
      <c r="H35" s="41" t="s">
        <v>62</v>
      </c>
      <c r="I35" s="41" t="s">
        <v>62</v>
      </c>
      <c r="J35" s="41" t="s">
        <v>62</v>
      </c>
      <c r="K35" s="41" t="s">
        <v>62</v>
      </c>
      <c r="L35" s="41" t="s">
        <v>62</v>
      </c>
      <c r="M35" s="41" t="s">
        <v>62</v>
      </c>
      <c r="N35" s="41">
        <v>0.67391304347826086</v>
      </c>
      <c r="O35" s="41">
        <v>0.69491525423728817</v>
      </c>
      <c r="P35" s="41">
        <v>0.45333333333333331</v>
      </c>
      <c r="Q35" s="62">
        <v>0.67469879518072284</v>
      </c>
      <c r="R35" s="62">
        <v>0.80405405405405406</v>
      </c>
      <c r="S35" s="62">
        <v>0.80560131795716639</v>
      </c>
      <c r="T35" s="62">
        <v>0.76063829787234039</v>
      </c>
    </row>
    <row r="36" spans="1:20" x14ac:dyDescent="0.25">
      <c r="A36" s="121">
        <v>917</v>
      </c>
      <c r="B36" s="71" t="s">
        <v>288</v>
      </c>
      <c r="C36" s="16" t="s">
        <v>62</v>
      </c>
      <c r="D36" s="16" t="s">
        <v>62</v>
      </c>
      <c r="E36" s="41" t="s">
        <v>62</v>
      </c>
      <c r="F36" s="41" t="s">
        <v>62</v>
      </c>
      <c r="G36" s="41" t="s">
        <v>62</v>
      </c>
      <c r="H36" s="41" t="s">
        <v>62</v>
      </c>
      <c r="I36" s="41" t="s">
        <v>62</v>
      </c>
      <c r="J36" s="41" t="s">
        <v>62</v>
      </c>
      <c r="K36" s="41" t="s">
        <v>62</v>
      </c>
      <c r="L36" s="41" t="s">
        <v>62</v>
      </c>
      <c r="M36" s="41" t="s">
        <v>62</v>
      </c>
      <c r="N36" s="41" t="s">
        <v>62</v>
      </c>
      <c r="O36" s="41" t="s">
        <v>62</v>
      </c>
      <c r="P36" s="41">
        <v>0.61742424242424243</v>
      </c>
      <c r="Q36" s="62">
        <v>0.60439560439560436</v>
      </c>
      <c r="R36" s="62">
        <v>0.56485355648535562</v>
      </c>
      <c r="S36" s="62">
        <v>0.58914728682170547</v>
      </c>
      <c r="T36" s="62">
        <v>0.60430686406460299</v>
      </c>
    </row>
    <row r="37" spans="1:20" x14ac:dyDescent="0.25">
      <c r="A37" s="121">
        <v>918</v>
      </c>
      <c r="B37" s="71" t="s">
        <v>289</v>
      </c>
      <c r="C37" s="16" t="s">
        <v>62</v>
      </c>
      <c r="D37" s="16" t="s">
        <v>62</v>
      </c>
      <c r="E37" s="41" t="s">
        <v>62</v>
      </c>
      <c r="F37" s="41" t="s">
        <v>62</v>
      </c>
      <c r="G37" s="41" t="s">
        <v>62</v>
      </c>
      <c r="H37" s="41" t="s">
        <v>62</v>
      </c>
      <c r="I37" s="41" t="s">
        <v>62</v>
      </c>
      <c r="J37" s="41" t="s">
        <v>62</v>
      </c>
      <c r="K37" s="41" t="s">
        <v>62</v>
      </c>
      <c r="L37" s="41" t="s">
        <v>62</v>
      </c>
      <c r="M37" s="41" t="s">
        <v>62</v>
      </c>
      <c r="N37" s="41" t="s">
        <v>62</v>
      </c>
      <c r="O37" s="41" t="s">
        <v>62</v>
      </c>
      <c r="P37" s="41">
        <v>0.76712328767123283</v>
      </c>
      <c r="Q37" s="62">
        <v>0.44</v>
      </c>
      <c r="R37" s="62">
        <v>0.68</v>
      </c>
      <c r="S37" s="62">
        <v>0.75132275132275128</v>
      </c>
      <c r="T37" s="62">
        <v>0.7007299270072993</v>
      </c>
    </row>
    <row r="38" spans="1:20" x14ac:dyDescent="0.25">
      <c r="A38" s="121">
        <v>919</v>
      </c>
      <c r="B38" s="71" t="s">
        <v>325</v>
      </c>
      <c r="C38" s="16" t="s">
        <v>62</v>
      </c>
      <c r="D38" s="16" t="s">
        <v>62</v>
      </c>
      <c r="E38" s="41" t="s">
        <v>62</v>
      </c>
      <c r="F38" s="41" t="s">
        <v>62</v>
      </c>
      <c r="G38" s="41" t="s">
        <v>62</v>
      </c>
      <c r="H38" s="41" t="s">
        <v>62</v>
      </c>
      <c r="I38" s="41" t="s">
        <v>62</v>
      </c>
      <c r="J38" s="41" t="s">
        <v>62</v>
      </c>
      <c r="K38" s="41" t="s">
        <v>62</v>
      </c>
      <c r="L38" s="41" t="s">
        <v>62</v>
      </c>
      <c r="M38" s="41" t="s">
        <v>62</v>
      </c>
      <c r="N38" s="41" t="s">
        <v>62</v>
      </c>
      <c r="O38" s="41" t="s">
        <v>62</v>
      </c>
      <c r="P38" s="41" t="s">
        <v>62</v>
      </c>
      <c r="Q38" s="62" t="s">
        <v>62</v>
      </c>
      <c r="R38" s="62">
        <v>0.80487804878048785</v>
      </c>
      <c r="S38" s="62">
        <v>0.7142857142857143</v>
      </c>
      <c r="T38" s="62">
        <v>1</v>
      </c>
    </row>
    <row r="39" spans="1:20" x14ac:dyDescent="0.25">
      <c r="A39" s="121">
        <v>920</v>
      </c>
      <c r="B39" s="71" t="s">
        <v>290</v>
      </c>
      <c r="C39" s="16" t="s">
        <v>62</v>
      </c>
      <c r="D39" s="16" t="s">
        <v>62</v>
      </c>
      <c r="E39" s="41" t="s">
        <v>62</v>
      </c>
      <c r="F39" s="41" t="s">
        <v>62</v>
      </c>
      <c r="G39" s="41" t="s">
        <v>62</v>
      </c>
      <c r="H39" s="41" t="s">
        <v>62</v>
      </c>
      <c r="I39" s="41" t="s">
        <v>62</v>
      </c>
      <c r="J39" s="41" t="s">
        <v>62</v>
      </c>
      <c r="K39" s="41" t="s">
        <v>62</v>
      </c>
      <c r="L39" s="41" t="s">
        <v>62</v>
      </c>
      <c r="M39" s="41" t="s">
        <v>62</v>
      </c>
      <c r="N39" s="41" t="s">
        <v>62</v>
      </c>
      <c r="O39" s="41" t="s">
        <v>62</v>
      </c>
      <c r="P39" s="41">
        <v>0.6785714285714286</v>
      </c>
      <c r="Q39" s="62">
        <v>0.60215053763440862</v>
      </c>
      <c r="R39" s="62">
        <v>0.65454545454545454</v>
      </c>
      <c r="S39" s="62">
        <v>0.5714285714285714</v>
      </c>
      <c r="T39" s="62">
        <v>0.64814814814814814</v>
      </c>
    </row>
    <row r="40" spans="1:20" x14ac:dyDescent="0.25">
      <c r="A40" s="121">
        <v>959</v>
      </c>
      <c r="B40" s="71" t="s">
        <v>370</v>
      </c>
      <c r="C40" s="16" t="s">
        <v>62</v>
      </c>
      <c r="D40" s="16" t="s">
        <v>62</v>
      </c>
      <c r="E40" s="41" t="s">
        <v>62</v>
      </c>
      <c r="F40" s="41" t="s">
        <v>62</v>
      </c>
      <c r="G40" s="41" t="s">
        <v>62</v>
      </c>
      <c r="H40" s="41" t="s">
        <v>62</v>
      </c>
      <c r="I40" s="41" t="s">
        <v>62</v>
      </c>
      <c r="J40" s="41" t="s">
        <v>62</v>
      </c>
      <c r="K40" s="41" t="s">
        <v>62</v>
      </c>
      <c r="L40" s="41" t="s">
        <v>62</v>
      </c>
      <c r="M40" s="41" t="s">
        <v>62</v>
      </c>
      <c r="N40" s="41" t="s">
        <v>62</v>
      </c>
      <c r="O40" s="41" t="s">
        <v>62</v>
      </c>
      <c r="P40" s="41" t="s">
        <v>62</v>
      </c>
      <c r="Q40" s="62" t="s">
        <v>62</v>
      </c>
      <c r="R40" s="62" t="s">
        <v>62</v>
      </c>
      <c r="S40" s="62" t="s">
        <v>62</v>
      </c>
      <c r="T40" s="62">
        <v>0.8</v>
      </c>
    </row>
    <row r="41" spans="1:20" x14ac:dyDescent="0.25">
      <c r="A41" s="149" t="s">
        <v>402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</row>
    <row r="42" spans="1:20" x14ac:dyDescent="0.25">
      <c r="A42" s="69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</row>
    <row r="43" spans="1:20" ht="18" x14ac:dyDescent="0.25">
      <c r="A43" s="25" t="s">
        <v>283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20" ht="30" customHeight="1" x14ac:dyDescent="0.25">
      <c r="A44" s="14" t="s">
        <v>339</v>
      </c>
      <c r="B44" s="39" t="s">
        <v>409</v>
      </c>
      <c r="C44" s="38">
        <v>2007</v>
      </c>
      <c r="D44" s="38">
        <v>2008</v>
      </c>
      <c r="E44" s="38">
        <v>2009</v>
      </c>
      <c r="F44" s="38">
        <v>2010</v>
      </c>
      <c r="G44" s="38">
        <v>2011</v>
      </c>
      <c r="H44" s="38">
        <v>2012</v>
      </c>
      <c r="I44" s="38">
        <v>2013</v>
      </c>
      <c r="J44" s="38">
        <v>2014</v>
      </c>
      <c r="K44" s="38">
        <v>2015</v>
      </c>
      <c r="L44" s="38">
        <v>2016</v>
      </c>
      <c r="M44" s="38">
        <v>2017</v>
      </c>
      <c r="N44" s="38">
        <v>2018</v>
      </c>
      <c r="O44" s="38">
        <v>2019</v>
      </c>
      <c r="P44" s="38">
        <v>2020</v>
      </c>
      <c r="Q44" s="38">
        <v>2021</v>
      </c>
      <c r="R44" s="38">
        <v>2022</v>
      </c>
      <c r="S44" s="38">
        <v>2023</v>
      </c>
      <c r="T44" s="38">
        <v>2024</v>
      </c>
    </row>
    <row r="45" spans="1:20" x14ac:dyDescent="0.25">
      <c r="A45" s="121">
        <v>99</v>
      </c>
      <c r="B45" s="67" t="s">
        <v>183</v>
      </c>
      <c r="C45" s="16">
        <v>0.66666666666666663</v>
      </c>
      <c r="D45" s="16">
        <v>0.69767441860465118</v>
      </c>
      <c r="E45" s="16">
        <v>0.72222222222222221</v>
      </c>
      <c r="F45" s="16">
        <v>0.77049180327868849</v>
      </c>
      <c r="G45" s="16">
        <v>0.81481481481481477</v>
      </c>
      <c r="H45" s="16">
        <v>0.82</v>
      </c>
      <c r="I45" s="16">
        <v>0.74576271186440679</v>
      </c>
      <c r="J45" s="16">
        <v>0.75</v>
      </c>
      <c r="K45" s="16">
        <v>0.79729729729729726</v>
      </c>
      <c r="L45" s="16">
        <v>0.84</v>
      </c>
      <c r="M45" s="16">
        <v>0.83050847457627119</v>
      </c>
      <c r="N45" s="16">
        <v>0.83471074380165289</v>
      </c>
      <c r="O45" s="16">
        <v>0.82051282051282048</v>
      </c>
      <c r="P45" s="16">
        <v>0.73949579831932777</v>
      </c>
      <c r="Q45" s="62">
        <v>0.7567567567567568</v>
      </c>
      <c r="R45" s="62">
        <v>0.79746835443037978</v>
      </c>
      <c r="S45" s="62">
        <v>0.82499999999999996</v>
      </c>
      <c r="T45" s="62">
        <v>0.83536585365853655</v>
      </c>
    </row>
    <row r="46" spans="1:20" x14ac:dyDescent="0.25">
      <c r="A46" s="121">
        <v>100</v>
      </c>
      <c r="B46" s="67" t="s">
        <v>174</v>
      </c>
      <c r="C46" s="16">
        <v>0.69368431019789789</v>
      </c>
      <c r="D46" s="16">
        <v>0.64814994658638436</v>
      </c>
      <c r="E46" s="41">
        <v>0.65531543331150399</v>
      </c>
      <c r="F46" s="41">
        <v>0.72075339260645765</v>
      </c>
      <c r="G46" s="41">
        <v>0.69176295191949311</v>
      </c>
      <c r="H46" s="41">
        <v>0.70650712557139017</v>
      </c>
      <c r="I46" s="41">
        <v>0.69123505976095623</v>
      </c>
      <c r="J46" s="16">
        <v>0.68870314083080042</v>
      </c>
      <c r="K46" s="16">
        <v>0.71280367695338154</v>
      </c>
      <c r="L46" s="16">
        <v>0.73869763583575276</v>
      </c>
      <c r="M46" s="16">
        <v>0.76307970546441029</v>
      </c>
      <c r="N46" s="16">
        <v>0.77691493116837274</v>
      </c>
      <c r="O46" s="16">
        <v>0.76009056900964755</v>
      </c>
      <c r="P46" s="16">
        <v>0.70061432136686508</v>
      </c>
      <c r="Q46" s="62">
        <v>0.7415888673595209</v>
      </c>
      <c r="R46" s="62">
        <v>0.79525053043904026</v>
      </c>
      <c r="S46" s="62">
        <v>0.81321453914688957</v>
      </c>
      <c r="T46" s="62">
        <v>0.80294885578252184</v>
      </c>
    </row>
    <row r="47" spans="1:20" x14ac:dyDescent="0.25">
      <c r="A47" s="121">
        <v>104</v>
      </c>
      <c r="B47" s="67" t="s">
        <v>176</v>
      </c>
      <c r="C47" s="16">
        <v>0.55706521739130432</v>
      </c>
      <c r="D47" s="16">
        <v>0.51954022988505744</v>
      </c>
      <c r="E47" s="16">
        <v>0.5575</v>
      </c>
      <c r="F47" s="41">
        <v>0.58805970149253728</v>
      </c>
      <c r="G47" s="41">
        <v>0.54405286343612336</v>
      </c>
      <c r="H47" s="16">
        <v>0.67307692307692313</v>
      </c>
      <c r="I47" s="16">
        <v>0.71799999999999997</v>
      </c>
      <c r="J47" s="16">
        <v>0.68480725623582761</v>
      </c>
      <c r="K47" s="16">
        <v>0.67632850241545894</v>
      </c>
      <c r="L47" s="16">
        <v>0.76258992805755399</v>
      </c>
      <c r="M47" s="16">
        <v>0.73871733966745845</v>
      </c>
      <c r="N47" s="16">
        <v>0.76081424936386766</v>
      </c>
      <c r="O47" s="16">
        <v>0.68877551020408168</v>
      </c>
      <c r="P47" s="16">
        <v>0.80672268907563027</v>
      </c>
      <c r="Q47" s="62">
        <v>0.82376237623762372</v>
      </c>
      <c r="R47" s="62">
        <v>0.78605769230769229</v>
      </c>
      <c r="S47" s="62">
        <v>0.80760095011876487</v>
      </c>
      <c r="T47" s="62">
        <v>0.79710144927536231</v>
      </c>
    </row>
    <row r="48" spans="1:20" x14ac:dyDescent="0.25">
      <c r="A48" s="121">
        <v>106</v>
      </c>
      <c r="B48" s="67" t="s">
        <v>169</v>
      </c>
      <c r="C48" s="16">
        <v>0.66685205784204671</v>
      </c>
      <c r="D48" s="16">
        <v>0.67182846932698037</v>
      </c>
      <c r="E48" s="41">
        <v>0.71094890510948905</v>
      </c>
      <c r="F48" s="41">
        <v>0.73663453111305877</v>
      </c>
      <c r="G48" s="41">
        <v>0.62980209545983701</v>
      </c>
      <c r="H48" s="41">
        <v>0.57201929703652654</v>
      </c>
      <c r="I48" s="41">
        <v>0.49824067558057705</v>
      </c>
      <c r="J48" s="16">
        <v>0.40376782077393075</v>
      </c>
      <c r="K48" s="16">
        <v>0.42032967032967034</v>
      </c>
      <c r="L48" s="16">
        <v>0.43794671864847301</v>
      </c>
      <c r="M48" s="16">
        <v>0.40084643288996374</v>
      </c>
      <c r="N48" s="16">
        <v>0.47828638497652581</v>
      </c>
      <c r="O48" s="16">
        <v>0.50590318772136955</v>
      </c>
      <c r="P48" s="16">
        <v>0.4970326409495549</v>
      </c>
      <c r="Q48" s="62">
        <v>0.58419792498004786</v>
      </c>
      <c r="R48" s="62">
        <v>0.59097669806643527</v>
      </c>
      <c r="S48" s="62">
        <v>0.60476923076923073</v>
      </c>
      <c r="T48" s="62">
        <v>0.61570709893795417</v>
      </c>
    </row>
    <row r="49" spans="1:20" x14ac:dyDescent="0.25">
      <c r="A49" s="121">
        <v>108</v>
      </c>
      <c r="B49" s="67" t="s">
        <v>232</v>
      </c>
      <c r="C49" s="16" t="s">
        <v>62</v>
      </c>
      <c r="D49" s="16" t="s">
        <v>62</v>
      </c>
      <c r="E49" s="16">
        <v>0.52631578947368418</v>
      </c>
      <c r="F49" s="41">
        <v>0.29032258064516131</v>
      </c>
      <c r="G49" s="41">
        <v>0.49514563106796117</v>
      </c>
      <c r="H49" s="16">
        <v>0.55882352941176472</v>
      </c>
      <c r="I49" s="16">
        <v>0.90677966101694918</v>
      </c>
      <c r="J49" s="16">
        <v>0.38848920863309355</v>
      </c>
      <c r="K49" s="16">
        <v>0.5280898876404494</v>
      </c>
      <c r="L49" s="16">
        <v>0.44230769230769229</v>
      </c>
      <c r="M49" s="16">
        <v>0.5</v>
      </c>
      <c r="N49" s="16">
        <v>0.44385026737967914</v>
      </c>
      <c r="O49" s="16">
        <v>0.48898678414096919</v>
      </c>
      <c r="P49" s="16">
        <v>0.71153846153846156</v>
      </c>
      <c r="Q49" s="62">
        <v>0.625</v>
      </c>
      <c r="R49" s="62">
        <v>0.51004016064257029</v>
      </c>
      <c r="S49" s="62">
        <v>0.41696113074204949</v>
      </c>
      <c r="T49" s="62">
        <v>0.25624999999999998</v>
      </c>
    </row>
    <row r="50" spans="1:20" x14ac:dyDescent="0.25">
      <c r="A50" s="121">
        <v>111</v>
      </c>
      <c r="B50" s="67" t="s">
        <v>177</v>
      </c>
      <c r="C50" s="16">
        <v>0.7090483619344774</v>
      </c>
      <c r="D50" s="16">
        <v>0.71628972230174637</v>
      </c>
      <c r="E50" s="16">
        <v>0.76029962546816476</v>
      </c>
      <c r="F50" s="16">
        <v>0.75440754407544075</v>
      </c>
      <c r="G50" s="16">
        <v>0.73160242971563727</v>
      </c>
      <c r="H50" s="16">
        <v>0.72885813148788925</v>
      </c>
      <c r="I50" s="16">
        <v>0.73542962838405923</v>
      </c>
      <c r="J50" s="16">
        <v>0.75597785049081301</v>
      </c>
      <c r="K50" s="16">
        <v>0.74597125435540068</v>
      </c>
      <c r="L50" s="16">
        <v>0.74955113766199855</v>
      </c>
      <c r="M50" s="16">
        <v>0.80378295758502105</v>
      </c>
      <c r="N50" s="16">
        <v>0.82416922460963571</v>
      </c>
      <c r="O50" s="16">
        <v>0.77598260059033708</v>
      </c>
      <c r="P50" s="16">
        <v>0.74764955776864683</v>
      </c>
      <c r="Q50" s="62">
        <v>0.75031772747569814</v>
      </c>
      <c r="R50" s="62">
        <v>0.78898990908182631</v>
      </c>
      <c r="S50" s="62">
        <v>0.79631228416378885</v>
      </c>
      <c r="T50" s="62">
        <v>0.79221211113462531</v>
      </c>
    </row>
    <row r="51" spans="1:20" x14ac:dyDescent="0.25">
      <c r="A51" s="121">
        <v>113</v>
      </c>
      <c r="B51" s="67" t="s">
        <v>184</v>
      </c>
      <c r="C51" s="16" t="s">
        <v>62</v>
      </c>
      <c r="D51" s="16">
        <v>0.22580645161290322</v>
      </c>
      <c r="E51" s="16">
        <v>0.41516966067864269</v>
      </c>
      <c r="F51" s="16">
        <v>0.54675876726886297</v>
      </c>
      <c r="G51" s="16">
        <v>0.53846153846153844</v>
      </c>
      <c r="H51" s="16">
        <v>0.5030788177339901</v>
      </c>
      <c r="I51" s="16">
        <v>0.61087866108786615</v>
      </c>
      <c r="J51" s="16">
        <v>0.620253164556962</v>
      </c>
      <c r="K51" s="16">
        <v>0.63421342134213421</v>
      </c>
      <c r="L51" s="16">
        <v>0.6561367167270844</v>
      </c>
      <c r="M51" s="16">
        <v>0.64629258517034072</v>
      </c>
      <c r="N51" s="16">
        <v>0.68060836501901145</v>
      </c>
      <c r="O51" s="16">
        <v>0.65100384451089277</v>
      </c>
      <c r="P51" s="16">
        <v>0.55795895729339984</v>
      </c>
      <c r="Q51" s="62">
        <v>0.61477987421383651</v>
      </c>
      <c r="R51" s="62">
        <v>0.55987394957983194</v>
      </c>
      <c r="S51" s="62">
        <v>0.51101558301988181</v>
      </c>
      <c r="T51" s="62">
        <v>0.58024691358024694</v>
      </c>
    </row>
    <row r="52" spans="1:20" x14ac:dyDescent="0.25">
      <c r="A52" s="121">
        <v>116</v>
      </c>
      <c r="B52" s="67" t="s">
        <v>168</v>
      </c>
      <c r="C52" s="16">
        <v>0.45630234056259394</v>
      </c>
      <c r="D52" s="41">
        <v>0.73190546528803546</v>
      </c>
      <c r="E52" s="41">
        <v>0.83707025411061287</v>
      </c>
      <c r="F52" s="41">
        <v>0.69657258064516125</v>
      </c>
      <c r="G52" s="41">
        <v>0.68263045032165837</v>
      </c>
      <c r="H52" s="16">
        <v>0.66478486420506566</v>
      </c>
      <c r="I52" s="16">
        <v>0.62059485128717817</v>
      </c>
      <c r="J52" s="16">
        <v>0.64884135472370763</v>
      </c>
      <c r="K52" s="16">
        <v>0.64649967886962112</v>
      </c>
      <c r="L52" s="16">
        <v>0.64243146603098922</v>
      </c>
      <c r="M52" s="16">
        <v>0.68299319727891161</v>
      </c>
      <c r="N52" s="16">
        <v>0.69430872837712931</v>
      </c>
      <c r="O52" s="16">
        <v>0.67402153926976627</v>
      </c>
      <c r="P52" s="16">
        <v>0.70945522855353793</v>
      </c>
      <c r="Q52" s="62">
        <v>0.6955840901973066</v>
      </c>
      <c r="R52" s="62">
        <v>0.76947620313746345</v>
      </c>
      <c r="S52" s="62">
        <v>0.76018566271273857</v>
      </c>
      <c r="T52" s="62">
        <v>0.7464587549101297</v>
      </c>
    </row>
    <row r="53" spans="1:20" x14ac:dyDescent="0.25">
      <c r="A53" s="121">
        <v>117</v>
      </c>
      <c r="B53" s="67" t="s">
        <v>344</v>
      </c>
      <c r="C53" s="16">
        <v>0</v>
      </c>
      <c r="D53" s="41">
        <v>0.79296875</v>
      </c>
      <c r="E53" s="16">
        <v>0.46666666666666667</v>
      </c>
      <c r="F53" s="16">
        <v>0.32643678160919543</v>
      </c>
      <c r="G53" s="16">
        <v>0.6155172413793103</v>
      </c>
      <c r="H53" s="16">
        <v>0.39805825242718446</v>
      </c>
      <c r="I53" s="16">
        <v>0.43492063492063493</v>
      </c>
      <c r="J53" s="16">
        <v>0.40434192672998642</v>
      </c>
      <c r="K53" s="16">
        <v>0.4281274281274281</v>
      </c>
      <c r="L53" s="16">
        <v>0.50681198910081748</v>
      </c>
      <c r="M53" s="16">
        <v>0.52276825969341745</v>
      </c>
      <c r="N53" s="16">
        <v>0.51160241183994148</v>
      </c>
      <c r="O53" s="16">
        <v>0.51285544014983819</v>
      </c>
      <c r="P53" s="16">
        <v>0.63659058487874465</v>
      </c>
      <c r="Q53" s="62">
        <v>0.64408813263525311</v>
      </c>
      <c r="R53" s="62">
        <v>0.61842672413793098</v>
      </c>
      <c r="S53" s="62">
        <v>0.61469803136469803</v>
      </c>
      <c r="T53" s="62">
        <v>0.63463745435576424</v>
      </c>
    </row>
    <row r="54" spans="1:20" x14ac:dyDescent="0.25">
      <c r="A54" s="121">
        <v>120</v>
      </c>
      <c r="B54" s="67" t="s">
        <v>179</v>
      </c>
      <c r="C54" s="16">
        <v>0.35797468354430378</v>
      </c>
      <c r="D54" s="16">
        <v>0.51944894651539708</v>
      </c>
      <c r="E54" s="16">
        <v>0.46574394463667818</v>
      </c>
      <c r="F54" s="16">
        <v>0.44163602941176472</v>
      </c>
      <c r="G54" s="16">
        <v>0.46839729119638829</v>
      </c>
      <c r="H54" s="16">
        <v>0.52774631936579841</v>
      </c>
      <c r="I54" s="16">
        <v>0.49199793495095506</v>
      </c>
      <c r="J54" s="16">
        <v>0.49023861171366595</v>
      </c>
      <c r="K54" s="16">
        <v>0.39617834394904461</v>
      </c>
      <c r="L54" s="16">
        <v>0.49032258064516127</v>
      </c>
      <c r="M54" s="16">
        <v>0.45877378435517968</v>
      </c>
      <c r="N54" s="16">
        <v>0.47920792079207919</v>
      </c>
      <c r="O54" s="16">
        <v>0.48685714285714288</v>
      </c>
      <c r="P54" s="16">
        <v>0.45919778699861685</v>
      </c>
      <c r="Q54" s="62">
        <v>0.59773013871374525</v>
      </c>
      <c r="R54" s="62">
        <v>0.49653579676674364</v>
      </c>
      <c r="S54" s="62">
        <v>0.47619047619047616</v>
      </c>
      <c r="T54" s="62">
        <v>0.56743421052631582</v>
      </c>
    </row>
    <row r="55" spans="1:20" x14ac:dyDescent="0.25">
      <c r="A55" s="121">
        <v>123</v>
      </c>
      <c r="B55" s="67" t="s">
        <v>181</v>
      </c>
      <c r="C55" s="16">
        <v>0.43725707940033315</v>
      </c>
      <c r="D55" s="16">
        <v>0.491134118767107</v>
      </c>
      <c r="E55" s="16">
        <v>0.53379915502112452</v>
      </c>
      <c r="F55" s="16">
        <v>0.58880803525673875</v>
      </c>
      <c r="G55" s="16">
        <v>0.57014660151043983</v>
      </c>
      <c r="H55" s="16">
        <v>0.56522545926888101</v>
      </c>
      <c r="I55" s="16">
        <v>0.58670602799733362</v>
      </c>
      <c r="J55" s="16">
        <v>0.58283433133732532</v>
      </c>
      <c r="K55" s="16">
        <v>0.60552735476593345</v>
      </c>
      <c r="L55" s="16">
        <v>0.63386545039908782</v>
      </c>
      <c r="M55" s="16">
        <v>0.73559546105541473</v>
      </c>
      <c r="N55" s="16">
        <v>0.72253476276403783</v>
      </c>
      <c r="O55" s="16">
        <v>0.69596812001875297</v>
      </c>
      <c r="P55" s="16">
        <v>0.6365274857314509</v>
      </c>
      <c r="Q55" s="62">
        <v>0.63247695626593448</v>
      </c>
      <c r="R55" s="62">
        <v>0.70551724137931038</v>
      </c>
      <c r="S55" s="62">
        <v>0.72208029197080292</v>
      </c>
      <c r="T55" s="62">
        <v>0.74420600858369101</v>
      </c>
    </row>
    <row r="56" spans="1:20" x14ac:dyDescent="0.25">
      <c r="A56" s="121">
        <v>129</v>
      </c>
      <c r="B56" s="67" t="s">
        <v>175</v>
      </c>
      <c r="C56" s="16">
        <v>0.542713567839196</v>
      </c>
      <c r="D56" s="16">
        <v>0.53424657534246578</v>
      </c>
      <c r="E56" s="16">
        <v>0.50704225352112675</v>
      </c>
      <c r="F56" s="16">
        <v>0.60824742268041232</v>
      </c>
      <c r="G56" s="16">
        <v>0.4632768361581921</v>
      </c>
      <c r="H56" s="16">
        <v>0.59638554216867468</v>
      </c>
      <c r="I56" s="16">
        <v>0.56595744680851068</v>
      </c>
      <c r="J56" s="16">
        <v>0.57761732851985559</v>
      </c>
      <c r="K56" s="16">
        <v>0.63963963963963966</v>
      </c>
      <c r="L56" s="16">
        <v>0.60326086956521741</v>
      </c>
      <c r="M56" s="16">
        <v>0.63200000000000001</v>
      </c>
      <c r="N56" s="16">
        <v>0.69184290030211482</v>
      </c>
      <c r="O56" s="16">
        <v>0.5895765472312704</v>
      </c>
      <c r="P56" s="16">
        <v>0.62925170068027214</v>
      </c>
      <c r="Q56" s="62">
        <v>0.65486725663716816</v>
      </c>
      <c r="R56" s="62">
        <v>0.71311475409836067</v>
      </c>
      <c r="S56" s="62">
        <v>0.7032520325203252</v>
      </c>
      <c r="T56" s="62">
        <v>0.73221757322175729</v>
      </c>
    </row>
    <row r="57" spans="1:20" x14ac:dyDescent="0.25">
      <c r="A57" s="121">
        <v>137</v>
      </c>
      <c r="B57" s="67" t="s">
        <v>345</v>
      </c>
      <c r="C57" s="16">
        <v>0.58064516129032262</v>
      </c>
      <c r="D57" s="16">
        <v>0.60082304526748975</v>
      </c>
      <c r="E57" s="16">
        <v>0.58723404255319145</v>
      </c>
      <c r="F57" s="16">
        <v>0.62222222222222223</v>
      </c>
      <c r="G57" s="16">
        <v>0.51903114186851207</v>
      </c>
      <c r="H57" s="16">
        <v>0.53094462540716614</v>
      </c>
      <c r="I57" s="16">
        <v>0.58074534161490687</v>
      </c>
      <c r="J57" s="16">
        <v>0.62574850299401197</v>
      </c>
      <c r="K57" s="16">
        <v>0.63609467455621305</v>
      </c>
      <c r="L57" s="16">
        <v>0.60952380952380958</v>
      </c>
      <c r="M57" s="16">
        <v>0.58984375</v>
      </c>
      <c r="N57" s="16">
        <v>0.5641025641025641</v>
      </c>
      <c r="O57" s="16">
        <v>0.51694915254237284</v>
      </c>
      <c r="P57" s="16">
        <v>0.59003831417624519</v>
      </c>
      <c r="Q57" s="62">
        <v>0.63468634686346859</v>
      </c>
      <c r="R57" s="62">
        <v>0.63571428571428568</v>
      </c>
      <c r="S57" s="62">
        <v>0.65048543689320393</v>
      </c>
      <c r="T57" s="62">
        <v>0.54736842105263162</v>
      </c>
    </row>
    <row r="58" spans="1:20" x14ac:dyDescent="0.25">
      <c r="A58" s="121">
        <v>139</v>
      </c>
      <c r="B58" s="67" t="s">
        <v>178</v>
      </c>
      <c r="C58" s="16">
        <v>0.75141983398864132</v>
      </c>
      <c r="D58" s="16">
        <v>0.84168081494057723</v>
      </c>
      <c r="E58" s="16">
        <v>0.36886564762670959</v>
      </c>
      <c r="F58" s="16">
        <v>0.47208333333333335</v>
      </c>
      <c r="G58" s="16">
        <v>0.67784297289745743</v>
      </c>
      <c r="H58" s="16">
        <v>0.70853462157809988</v>
      </c>
      <c r="I58" s="16">
        <v>0.7443877551020408</v>
      </c>
      <c r="J58" s="16">
        <v>0.74708868318901167</v>
      </c>
      <c r="K58" s="16">
        <v>0.71817643576080525</v>
      </c>
      <c r="L58" s="16">
        <v>0.69624387588459447</v>
      </c>
      <c r="M58" s="16">
        <v>0.67917709202112875</v>
      </c>
      <c r="N58" s="16">
        <v>0.7059685097034053</v>
      </c>
      <c r="O58" s="16">
        <v>0.68082788671023964</v>
      </c>
      <c r="P58" s="16">
        <v>0.70892857142857146</v>
      </c>
      <c r="Q58" s="62">
        <v>0.6743993371996686</v>
      </c>
      <c r="R58" s="62">
        <v>0.70190476190476192</v>
      </c>
      <c r="S58" s="62">
        <v>0.76624576532183553</v>
      </c>
      <c r="T58" s="62">
        <v>0.75663129973474796</v>
      </c>
    </row>
    <row r="59" spans="1:20" x14ac:dyDescent="0.25">
      <c r="A59" s="121">
        <v>143</v>
      </c>
      <c r="B59" s="67" t="s">
        <v>182</v>
      </c>
      <c r="C59" s="16">
        <v>0.58317972350230418</v>
      </c>
      <c r="D59" s="41">
        <v>0.67093000198294661</v>
      </c>
      <c r="E59" s="41">
        <v>0.69203802332636688</v>
      </c>
      <c r="F59" s="41">
        <v>0.68548909522781254</v>
      </c>
      <c r="G59" s="41">
        <v>0.70300735130318559</v>
      </c>
      <c r="H59" s="41">
        <v>0.67883575564673848</v>
      </c>
      <c r="I59" s="41">
        <v>0.70412882190504711</v>
      </c>
      <c r="J59" s="16">
        <v>0.72224308785716351</v>
      </c>
      <c r="K59" s="16">
        <v>0.73352676900037439</v>
      </c>
      <c r="L59" s="16">
        <v>0.69999692336092056</v>
      </c>
      <c r="M59" s="16">
        <v>0.71508875739644973</v>
      </c>
      <c r="N59" s="16">
        <v>0.70898729162222285</v>
      </c>
      <c r="O59" s="16">
        <v>0.66007351654122182</v>
      </c>
      <c r="P59" s="16">
        <v>0.65652245435104462</v>
      </c>
      <c r="Q59" s="62">
        <v>0.69707367603262982</v>
      </c>
      <c r="R59" s="62">
        <v>0.67569415541946609</v>
      </c>
      <c r="S59" s="62">
        <v>0.68690502722149704</v>
      </c>
      <c r="T59" s="62">
        <v>0.67364016736401677</v>
      </c>
    </row>
    <row r="60" spans="1:20" x14ac:dyDescent="0.25">
      <c r="A60" s="121">
        <v>144</v>
      </c>
      <c r="B60" s="67" t="s">
        <v>346</v>
      </c>
      <c r="C60" s="16">
        <v>0.64896073903002305</v>
      </c>
      <c r="D60" s="16">
        <v>0.65217391304347827</v>
      </c>
      <c r="E60" s="16">
        <v>0.29896907216494845</v>
      </c>
      <c r="F60" s="16">
        <v>0.44419134396355353</v>
      </c>
      <c r="G60" s="16">
        <v>0.56902985074626866</v>
      </c>
      <c r="H60" s="16">
        <v>0.57831325301204817</v>
      </c>
      <c r="I60" s="16">
        <v>0.63737796373779643</v>
      </c>
      <c r="J60" s="16">
        <v>0.65414710485133021</v>
      </c>
      <c r="K60" s="16">
        <v>0.6208718626155878</v>
      </c>
      <c r="L60" s="16">
        <v>0.69738651994497936</v>
      </c>
      <c r="M60" s="16">
        <v>0.72859744990892528</v>
      </c>
      <c r="N60" s="16">
        <v>0.70781032078103212</v>
      </c>
      <c r="O60" s="16">
        <v>0.73121984838042731</v>
      </c>
      <c r="P60" s="16">
        <v>0.7759484609878311</v>
      </c>
      <c r="Q60" s="62">
        <v>0.72516803584764755</v>
      </c>
      <c r="R60" s="62">
        <v>0.75806451612903225</v>
      </c>
      <c r="S60" s="62">
        <v>0.77795152462861605</v>
      </c>
      <c r="T60" s="62">
        <v>0.44972288202692001</v>
      </c>
    </row>
    <row r="61" spans="1:20" x14ac:dyDescent="0.25">
      <c r="A61" s="121">
        <v>152</v>
      </c>
      <c r="B61" s="67" t="s">
        <v>231</v>
      </c>
      <c r="C61" s="16">
        <v>0.29039026437263954</v>
      </c>
      <c r="D61" s="16">
        <v>0.47487684729064039</v>
      </c>
      <c r="E61" s="16">
        <v>0.42857142857142855</v>
      </c>
      <c r="F61" s="41">
        <v>0.4892512972572276</v>
      </c>
      <c r="G61" s="41">
        <v>0.52365591397849465</v>
      </c>
      <c r="H61" s="16">
        <v>0.51010886469673411</v>
      </c>
      <c r="I61" s="16">
        <v>0.61993047508690613</v>
      </c>
      <c r="J61" s="16">
        <v>0.58312958435207829</v>
      </c>
      <c r="K61" s="16">
        <v>0.79947575360419398</v>
      </c>
      <c r="L61" s="16">
        <v>0.76020851433536052</v>
      </c>
      <c r="M61" s="16">
        <v>0.73600635172687578</v>
      </c>
      <c r="N61" s="16">
        <v>0.74202815282964663</v>
      </c>
      <c r="O61" s="16">
        <v>0.77529242766263085</v>
      </c>
      <c r="P61" s="16">
        <v>0.785518590998043</v>
      </c>
      <c r="Q61" s="62">
        <v>0.80121172425085962</v>
      </c>
      <c r="R61" s="62">
        <v>0.79510426110607435</v>
      </c>
      <c r="S61" s="62">
        <v>0.74764941100183724</v>
      </c>
      <c r="T61" s="62">
        <v>0.76316446219116552</v>
      </c>
    </row>
    <row r="62" spans="1:20" x14ac:dyDescent="0.25">
      <c r="A62" s="121">
        <v>155</v>
      </c>
      <c r="B62" s="67" t="s">
        <v>171</v>
      </c>
      <c r="C62" s="16">
        <v>0.39218009478672988</v>
      </c>
      <c r="D62" s="16">
        <v>0.44857713429855217</v>
      </c>
      <c r="E62" s="16">
        <v>0.48021952892750974</v>
      </c>
      <c r="F62" s="41">
        <v>0.48980865224625625</v>
      </c>
      <c r="G62" s="41">
        <v>0.45125628140703516</v>
      </c>
      <c r="H62" s="16">
        <v>0.49122347393240767</v>
      </c>
      <c r="I62" s="16">
        <v>0.49881388828984258</v>
      </c>
      <c r="J62" s="16">
        <v>0.52313444461754166</v>
      </c>
      <c r="K62" s="16">
        <v>0.57408500590318767</v>
      </c>
      <c r="L62" s="16">
        <v>0.63298178331735377</v>
      </c>
      <c r="M62" s="16">
        <v>0.58119658119658124</v>
      </c>
      <c r="N62" s="16">
        <v>0.59329061439879383</v>
      </c>
      <c r="O62" s="16">
        <v>0.544039617969579</v>
      </c>
      <c r="P62" s="16">
        <v>0.61479786422578186</v>
      </c>
      <c r="Q62" s="62">
        <v>0.67720242098184269</v>
      </c>
      <c r="R62" s="62">
        <v>0.72220285813872431</v>
      </c>
      <c r="S62" s="62">
        <v>0.65718349928876241</v>
      </c>
      <c r="T62" s="62">
        <v>0.71183800623052962</v>
      </c>
    </row>
    <row r="63" spans="1:20" x14ac:dyDescent="0.25">
      <c r="A63" s="121">
        <v>162</v>
      </c>
      <c r="B63" s="67" t="s">
        <v>347</v>
      </c>
      <c r="C63" s="16">
        <v>0.46919431279620855</v>
      </c>
      <c r="D63" s="16">
        <v>0.52017937219730936</v>
      </c>
      <c r="E63" s="41">
        <v>0.5104602510460251</v>
      </c>
      <c r="F63" s="41">
        <v>0.52362204724409445</v>
      </c>
      <c r="G63" s="41">
        <v>0.52063492063492067</v>
      </c>
      <c r="H63" s="41">
        <v>0.59409594095940954</v>
      </c>
      <c r="I63" s="41">
        <v>0.49320388349514566</v>
      </c>
      <c r="J63" s="16">
        <v>0.61956521739130432</v>
      </c>
      <c r="K63" s="16">
        <v>0.51677852348993292</v>
      </c>
      <c r="L63" s="16">
        <v>0.53649635036496346</v>
      </c>
      <c r="M63" s="16">
        <v>0.50793650793650791</v>
      </c>
      <c r="N63" s="16">
        <v>0.61146496815286622</v>
      </c>
      <c r="O63" s="16">
        <v>0.69666666666666666</v>
      </c>
      <c r="P63" s="16">
        <v>0.65283018867924525</v>
      </c>
      <c r="Q63" s="62">
        <v>0.67752442996742668</v>
      </c>
      <c r="R63" s="62">
        <v>0.68951612903225812</v>
      </c>
      <c r="S63" s="62">
        <v>0.70572207084468663</v>
      </c>
      <c r="T63" s="62">
        <v>0.67500000000000004</v>
      </c>
    </row>
    <row r="64" spans="1:20" x14ac:dyDescent="0.25">
      <c r="A64" s="121">
        <v>171</v>
      </c>
      <c r="B64" s="67" t="s">
        <v>338</v>
      </c>
      <c r="C64" s="16" t="s">
        <v>62</v>
      </c>
      <c r="D64" s="16">
        <v>0.35416666666666669</v>
      </c>
      <c r="E64" s="16">
        <v>0.37931034482758619</v>
      </c>
      <c r="F64" s="16">
        <v>7.3333333333333334E-2</v>
      </c>
      <c r="G64" s="16">
        <v>1.3513513513513514E-2</v>
      </c>
      <c r="H64" s="16">
        <v>0.375</v>
      </c>
      <c r="I64" s="16">
        <v>0.50256410256410255</v>
      </c>
      <c r="J64" s="16">
        <v>0.51361867704280151</v>
      </c>
      <c r="K64" s="16">
        <v>0.67592592592592593</v>
      </c>
      <c r="L64" s="16">
        <v>0.46684350132625996</v>
      </c>
      <c r="M64" s="16">
        <v>0.54395604395604391</v>
      </c>
      <c r="N64" s="16">
        <v>0.42582417582417581</v>
      </c>
      <c r="O64" s="16">
        <v>0.55075593952483803</v>
      </c>
      <c r="P64" s="16">
        <v>0.55974842767295596</v>
      </c>
      <c r="Q64" s="62">
        <v>0.65071770334928225</v>
      </c>
      <c r="R64" s="62">
        <v>0.53138075313807531</v>
      </c>
      <c r="S64" s="62">
        <v>0.57894736842105265</v>
      </c>
      <c r="T64" s="62">
        <v>0.6936585365853658</v>
      </c>
    </row>
    <row r="65" spans="1:20" x14ac:dyDescent="0.25">
      <c r="A65" s="121">
        <v>176</v>
      </c>
      <c r="B65" s="67" t="s">
        <v>180</v>
      </c>
      <c r="C65" s="16">
        <v>0.44592696629213485</v>
      </c>
      <c r="D65" s="16">
        <v>0.48905109489051096</v>
      </c>
      <c r="E65" s="41">
        <v>0.55105284068335325</v>
      </c>
      <c r="F65" s="41">
        <v>0.64436713941664436</v>
      </c>
      <c r="G65" s="41">
        <v>0.58009579563597657</v>
      </c>
      <c r="H65" s="41">
        <v>0.62382367508667658</v>
      </c>
      <c r="I65" s="41">
        <v>0.58456486042692934</v>
      </c>
      <c r="J65" s="16">
        <v>0.53846153846153844</v>
      </c>
      <c r="K65" s="16">
        <v>0.47230675593426658</v>
      </c>
      <c r="L65" s="16">
        <v>0.51105216622458005</v>
      </c>
      <c r="M65" s="16">
        <v>0.54145077720207258</v>
      </c>
      <c r="N65" s="16">
        <v>0.6471734892787524</v>
      </c>
      <c r="O65" s="16">
        <v>0.65785813630041723</v>
      </c>
      <c r="P65" s="16">
        <v>0.60041841004184104</v>
      </c>
      <c r="Q65" s="62">
        <v>0.76590909090909087</v>
      </c>
      <c r="R65" s="62">
        <v>0.69372693726937273</v>
      </c>
      <c r="S65" s="62">
        <v>0.78811369509043927</v>
      </c>
      <c r="T65" s="62">
        <v>0.66470588235294115</v>
      </c>
    </row>
    <row r="66" spans="1:20" x14ac:dyDescent="0.25">
      <c r="A66" s="121">
        <v>193</v>
      </c>
      <c r="B66" s="67" t="s">
        <v>172</v>
      </c>
      <c r="C66" s="16">
        <v>0.875</v>
      </c>
      <c r="D66" s="16">
        <v>0.75490196078431371</v>
      </c>
      <c r="E66" s="41">
        <v>0.6820276497695853</v>
      </c>
      <c r="F66" s="41">
        <v>0.58759124087591241</v>
      </c>
      <c r="G66" s="41">
        <v>0.51769911504424782</v>
      </c>
      <c r="H66" s="41">
        <v>0.66666666666666663</v>
      </c>
      <c r="I66" s="41">
        <v>0.71219512195121948</v>
      </c>
      <c r="J66" s="16">
        <v>0.64086687306501544</v>
      </c>
      <c r="K66" s="16">
        <v>0.67919075144508667</v>
      </c>
      <c r="L66" s="16">
        <v>0.6983240223463687</v>
      </c>
      <c r="M66" s="16">
        <v>0.71565495207667729</v>
      </c>
      <c r="N66" s="16">
        <v>0.72</v>
      </c>
      <c r="O66" s="16">
        <v>0.63286713286713292</v>
      </c>
      <c r="P66" s="16">
        <v>0.69259259259259254</v>
      </c>
      <c r="Q66" s="62">
        <v>0.72047244094488194</v>
      </c>
      <c r="R66" s="62">
        <v>0.75</v>
      </c>
      <c r="S66" s="62">
        <v>0.8098859315589354</v>
      </c>
      <c r="T66" s="62">
        <v>0.79323308270676696</v>
      </c>
    </row>
    <row r="67" spans="1:20" x14ac:dyDescent="0.25">
      <c r="A67" s="121">
        <v>676</v>
      </c>
      <c r="B67" s="67" t="s">
        <v>173</v>
      </c>
      <c r="C67" s="16" t="s">
        <v>62</v>
      </c>
      <c r="D67" s="16">
        <v>0.75714285714285712</v>
      </c>
      <c r="E67" s="16">
        <v>0.74375000000000002</v>
      </c>
      <c r="F67" s="41">
        <v>0.49748743718592964</v>
      </c>
      <c r="G67" s="41">
        <v>0.7142857142857143</v>
      </c>
      <c r="H67" s="16">
        <v>0.75524475524475521</v>
      </c>
      <c r="I67" s="16">
        <v>0.66386554621848737</v>
      </c>
      <c r="J67" s="16">
        <v>0.72033898305084743</v>
      </c>
      <c r="K67" s="16">
        <v>0.70108695652173914</v>
      </c>
      <c r="L67" s="16">
        <v>0.7570093457943925</v>
      </c>
      <c r="M67" s="16">
        <v>0.77884615384615385</v>
      </c>
      <c r="N67" s="16">
        <v>0.79702970297029707</v>
      </c>
      <c r="O67" s="16">
        <v>0.66115702479338845</v>
      </c>
      <c r="P67" s="16">
        <v>0.78282828282828287</v>
      </c>
      <c r="Q67" s="62">
        <v>0.84571428571428575</v>
      </c>
      <c r="R67" s="62">
        <v>0.82027649769585254</v>
      </c>
      <c r="S67" s="62">
        <v>0.85034013605442171</v>
      </c>
      <c r="T67" s="62">
        <v>0.8146067415730337</v>
      </c>
    </row>
    <row r="68" spans="1:20" x14ac:dyDescent="0.25">
      <c r="A68" s="121">
        <v>693</v>
      </c>
      <c r="B68" s="67" t="s">
        <v>170</v>
      </c>
      <c r="C68" s="16" t="s">
        <v>62</v>
      </c>
      <c r="D68" s="16">
        <v>0.51136363636363635</v>
      </c>
      <c r="E68" s="16">
        <v>0.6063829787234043</v>
      </c>
      <c r="F68" s="16">
        <v>0.65151515151515149</v>
      </c>
      <c r="G68" s="16">
        <v>0.54621848739495793</v>
      </c>
      <c r="H68" s="16">
        <v>0.6470588235294118</v>
      </c>
      <c r="I68" s="16">
        <v>0.67307692307692313</v>
      </c>
      <c r="J68" s="16">
        <v>0.68656716417910446</v>
      </c>
      <c r="K68" s="16">
        <v>0.72592592592592597</v>
      </c>
      <c r="L68" s="16">
        <v>0.64341085271317833</v>
      </c>
      <c r="M68" s="16">
        <v>0.71212121212121215</v>
      </c>
      <c r="N68" s="16">
        <v>0.7567567567567568</v>
      </c>
      <c r="O68" s="16">
        <v>0.52500000000000002</v>
      </c>
      <c r="P68" s="16">
        <v>0.68604651162790697</v>
      </c>
      <c r="Q68" s="62">
        <v>0.6875</v>
      </c>
      <c r="R68" s="62">
        <v>0.71074380165289253</v>
      </c>
      <c r="S68" s="62">
        <v>0.78703703703703709</v>
      </c>
      <c r="T68" s="62">
        <v>0.64166666666666672</v>
      </c>
    </row>
    <row r="69" spans="1:20" x14ac:dyDescent="0.25">
      <c r="A69" s="121">
        <v>754</v>
      </c>
      <c r="B69" s="67" t="s">
        <v>230</v>
      </c>
      <c r="C69" s="16" t="s">
        <v>62</v>
      </c>
      <c r="D69" s="16" t="s">
        <v>62</v>
      </c>
      <c r="E69" s="16" t="s">
        <v>62</v>
      </c>
      <c r="F69" s="16" t="s">
        <v>62</v>
      </c>
      <c r="G69" s="16" t="s">
        <v>62</v>
      </c>
      <c r="H69" s="16" t="s">
        <v>62</v>
      </c>
      <c r="I69" s="16" t="s">
        <v>62</v>
      </c>
      <c r="J69" s="16" t="s">
        <v>62</v>
      </c>
      <c r="K69" s="16" t="s">
        <v>62</v>
      </c>
      <c r="L69" s="16">
        <v>0.66666666666666663</v>
      </c>
      <c r="M69" s="16">
        <v>0.73333333333333328</v>
      </c>
      <c r="N69" s="16">
        <v>0.80769230769230771</v>
      </c>
      <c r="O69" s="16">
        <v>0.60869565217391308</v>
      </c>
      <c r="P69" s="16">
        <v>0.68421052631578949</v>
      </c>
      <c r="Q69" s="62">
        <v>0.80392156862745101</v>
      </c>
      <c r="R69" s="62">
        <v>0.69230769230769229</v>
      </c>
      <c r="S69" s="62">
        <v>0.65853658536585369</v>
      </c>
      <c r="T69" s="62">
        <v>0.94230769230769229</v>
      </c>
    </row>
    <row r="70" spans="1:20" x14ac:dyDescent="0.25">
      <c r="A70" s="121">
        <v>951</v>
      </c>
      <c r="B70" s="67" t="s">
        <v>391</v>
      </c>
      <c r="C70" s="16" t="s">
        <v>62</v>
      </c>
      <c r="D70" s="16" t="s">
        <v>62</v>
      </c>
      <c r="E70" s="16" t="s">
        <v>62</v>
      </c>
      <c r="F70" s="16" t="s">
        <v>62</v>
      </c>
      <c r="G70" s="16" t="s">
        <v>62</v>
      </c>
      <c r="H70" s="16" t="s">
        <v>62</v>
      </c>
      <c r="I70" s="16" t="s">
        <v>62</v>
      </c>
      <c r="J70" s="16" t="s">
        <v>62</v>
      </c>
      <c r="K70" s="16" t="s">
        <v>62</v>
      </c>
      <c r="L70" s="16" t="s">
        <v>62</v>
      </c>
      <c r="M70" s="16" t="s">
        <v>62</v>
      </c>
      <c r="N70" s="16" t="s">
        <v>62</v>
      </c>
      <c r="O70" s="16" t="s">
        <v>62</v>
      </c>
      <c r="P70" s="16" t="s">
        <v>62</v>
      </c>
      <c r="Q70" s="62" t="s">
        <v>62</v>
      </c>
      <c r="R70" s="62" t="s">
        <v>62</v>
      </c>
      <c r="S70" s="62">
        <v>0.9</v>
      </c>
      <c r="T70" s="62">
        <v>0.81818181818181823</v>
      </c>
    </row>
    <row r="71" spans="1:20" x14ac:dyDescent="0.25">
      <c r="A71" s="149" t="s">
        <v>402</v>
      </c>
      <c r="B71" s="104"/>
      <c r="C71" s="104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</row>
    <row r="72" spans="1:20" x14ac:dyDescent="0.25"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</row>
    <row r="73" spans="1:20" ht="18" x14ac:dyDescent="0.25">
      <c r="A73" s="25" t="s">
        <v>284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</row>
    <row r="74" spans="1:20" ht="30" customHeight="1" x14ac:dyDescent="0.25">
      <c r="A74" s="39" t="s">
        <v>339</v>
      </c>
      <c r="B74" s="39" t="s">
        <v>409</v>
      </c>
      <c r="C74" s="38">
        <v>2007</v>
      </c>
      <c r="D74" s="38">
        <v>2008</v>
      </c>
      <c r="E74" s="38">
        <v>2009</v>
      </c>
      <c r="F74" s="38">
        <v>2010</v>
      </c>
      <c r="G74" s="38">
        <v>2011</v>
      </c>
      <c r="H74" s="38">
        <v>2012</v>
      </c>
      <c r="I74" s="38">
        <v>2013</v>
      </c>
      <c r="J74" s="38">
        <v>2014</v>
      </c>
      <c r="K74" s="38">
        <v>2015</v>
      </c>
      <c r="L74" s="38">
        <v>2016</v>
      </c>
      <c r="M74" s="38">
        <v>2017</v>
      </c>
      <c r="N74" s="38">
        <v>2018</v>
      </c>
      <c r="O74" s="38">
        <v>2019</v>
      </c>
      <c r="P74" s="38">
        <v>2020</v>
      </c>
      <c r="Q74" s="38">
        <v>2021</v>
      </c>
      <c r="R74" s="38">
        <v>2022</v>
      </c>
      <c r="S74" s="38">
        <v>2023</v>
      </c>
      <c r="T74" s="38">
        <v>2024</v>
      </c>
    </row>
    <row r="75" spans="1:20" x14ac:dyDescent="0.25">
      <c r="A75" s="121">
        <v>1</v>
      </c>
      <c r="B75" s="67" t="s">
        <v>129</v>
      </c>
      <c r="C75" s="16">
        <v>0.73392461197339243</v>
      </c>
      <c r="D75" s="16" t="s">
        <v>62</v>
      </c>
      <c r="E75" s="16" t="s">
        <v>62</v>
      </c>
      <c r="F75" s="16" t="s">
        <v>62</v>
      </c>
      <c r="G75" s="16" t="s">
        <v>62</v>
      </c>
      <c r="H75" s="16" t="s">
        <v>62</v>
      </c>
      <c r="I75" s="16">
        <v>0.67672413793103448</v>
      </c>
      <c r="J75" s="16">
        <v>0.61417322834645671</v>
      </c>
      <c r="K75" s="16">
        <v>0.72093023255813948</v>
      </c>
      <c r="L75" s="16">
        <v>0.71830985915492962</v>
      </c>
      <c r="M75" s="16">
        <v>0.76719576719576721</v>
      </c>
      <c r="N75" s="16">
        <v>0.65384615384615385</v>
      </c>
      <c r="O75" s="16">
        <v>0.60869565217391308</v>
      </c>
      <c r="P75" s="16">
        <v>0.74509803921568629</v>
      </c>
      <c r="Q75" s="62">
        <v>0.6495726495726496</v>
      </c>
      <c r="R75" s="62">
        <v>0.68722466960352424</v>
      </c>
      <c r="S75" s="62">
        <v>0.83627204030226698</v>
      </c>
      <c r="T75" s="62">
        <v>0.87167070217917675</v>
      </c>
    </row>
    <row r="76" spans="1:20" x14ac:dyDescent="0.25">
      <c r="A76" s="121">
        <v>2</v>
      </c>
      <c r="B76" s="67" t="s">
        <v>130</v>
      </c>
      <c r="C76" s="16">
        <v>0.75060240963855418</v>
      </c>
      <c r="D76" s="16">
        <v>0.75699745547073793</v>
      </c>
      <c r="E76" s="16">
        <v>0.77288528389339517</v>
      </c>
      <c r="F76" s="16">
        <v>0.79794871794871791</v>
      </c>
      <c r="G76" s="16">
        <v>0.79572446555819476</v>
      </c>
      <c r="H76" s="16">
        <v>0.80802792321116923</v>
      </c>
      <c r="I76" s="16">
        <v>0.81706244503078274</v>
      </c>
      <c r="J76" s="16">
        <v>0.84602368866328259</v>
      </c>
      <c r="K76" s="16">
        <v>0.8265449438202247</v>
      </c>
      <c r="L76" s="16">
        <v>0.82174167153711275</v>
      </c>
      <c r="M76" s="16">
        <v>0.84853905784138339</v>
      </c>
      <c r="N76" s="16">
        <v>0.81375203031943688</v>
      </c>
      <c r="O76" s="16">
        <v>0.82097748489840749</v>
      </c>
      <c r="P76" s="16">
        <v>0.86895051658510059</v>
      </c>
      <c r="Q76" s="62">
        <v>0.83065769031589853</v>
      </c>
      <c r="R76" s="62">
        <v>0.80989180834621333</v>
      </c>
      <c r="S76" s="62">
        <v>0.82842205323193918</v>
      </c>
      <c r="T76" s="62">
        <v>0.83462657613967017</v>
      </c>
    </row>
    <row r="77" spans="1:20" x14ac:dyDescent="0.25">
      <c r="A77" s="121">
        <v>3</v>
      </c>
      <c r="B77" s="67" t="s">
        <v>131</v>
      </c>
      <c r="C77" s="16">
        <v>0.74481396114586762</v>
      </c>
      <c r="D77" s="16">
        <v>0.79520999652898294</v>
      </c>
      <c r="E77" s="16">
        <v>0.81709344861988698</v>
      </c>
      <c r="F77" s="16">
        <v>0.83434704830053663</v>
      </c>
      <c r="G77" s="16">
        <v>0.81859070464767614</v>
      </c>
      <c r="H77" s="16">
        <v>0.84056857472147517</v>
      </c>
      <c r="I77" s="16">
        <v>0.83040330920372285</v>
      </c>
      <c r="J77" s="16">
        <v>0.829657278588395</v>
      </c>
      <c r="K77" s="16">
        <v>0.83727211343686703</v>
      </c>
      <c r="L77" s="16">
        <v>0.82510795805058601</v>
      </c>
      <c r="M77" s="16">
        <v>0.85888610763454321</v>
      </c>
      <c r="N77" s="16">
        <v>0.82682563338301041</v>
      </c>
      <c r="O77" s="16">
        <v>0.82383569568990456</v>
      </c>
      <c r="P77" s="16">
        <v>0.885322530383297</v>
      </c>
      <c r="Q77" s="62">
        <v>0.85490909090909095</v>
      </c>
      <c r="R77" s="62">
        <v>0.88053553038105048</v>
      </c>
      <c r="S77" s="62">
        <v>0.87348206721265176</v>
      </c>
      <c r="T77" s="62">
        <v>0.89961283185840712</v>
      </c>
    </row>
    <row r="78" spans="1:20" x14ac:dyDescent="0.25">
      <c r="A78" s="121">
        <v>4</v>
      </c>
      <c r="B78" s="67" t="s">
        <v>152</v>
      </c>
      <c r="C78" s="16">
        <v>0.78306878306878303</v>
      </c>
      <c r="D78" s="16">
        <v>0.73353819139596133</v>
      </c>
      <c r="E78" s="16">
        <v>0.76679340937896068</v>
      </c>
      <c r="F78" s="16">
        <v>0.80881130507065668</v>
      </c>
      <c r="G78" s="16">
        <v>0.75312904618040566</v>
      </c>
      <c r="H78" s="16">
        <v>0.76241405653170358</v>
      </c>
      <c r="I78" s="16">
        <v>0.75635439360929557</v>
      </c>
      <c r="J78" s="16">
        <v>0.80317340385341895</v>
      </c>
      <c r="K78" s="16">
        <v>0.78450648839952808</v>
      </c>
      <c r="L78" s="16">
        <v>0.78460207612456745</v>
      </c>
      <c r="M78" s="16">
        <v>0.81270096463022512</v>
      </c>
      <c r="N78" s="16">
        <v>0.78344166951761884</v>
      </c>
      <c r="O78" s="16">
        <v>0.76499302649930268</v>
      </c>
      <c r="P78" s="16">
        <v>0.8289528577388402</v>
      </c>
      <c r="Q78" s="62">
        <v>0.81206030150753772</v>
      </c>
      <c r="R78" s="62">
        <v>0.78862973760932942</v>
      </c>
      <c r="S78" s="62">
        <v>0.85166425470332852</v>
      </c>
      <c r="T78" s="62">
        <v>0.8841974542067681</v>
      </c>
    </row>
    <row r="79" spans="1:20" x14ac:dyDescent="0.25">
      <c r="A79" s="121">
        <v>9</v>
      </c>
      <c r="B79" s="67" t="s">
        <v>317</v>
      </c>
      <c r="C79" s="16">
        <v>0.51675257731958768</v>
      </c>
      <c r="D79" s="16">
        <v>0.29431929480901076</v>
      </c>
      <c r="E79" s="16">
        <v>0.52176470588235291</v>
      </c>
      <c r="F79" s="16">
        <v>0.68727392305162771</v>
      </c>
      <c r="G79" s="16">
        <v>0.7153827099331187</v>
      </c>
      <c r="H79" s="16">
        <v>0.55697190426638921</v>
      </c>
      <c r="I79" s="16">
        <v>0.61969439728353137</v>
      </c>
      <c r="J79" s="16">
        <v>0.63343717549325029</v>
      </c>
      <c r="K79" s="16">
        <v>0.7265795206971678</v>
      </c>
      <c r="L79" s="16">
        <v>0.6342769701606733</v>
      </c>
      <c r="M79" s="16">
        <v>0.62774829416224409</v>
      </c>
      <c r="N79" s="16">
        <v>0.5874799357945425</v>
      </c>
      <c r="O79" s="16">
        <v>0.56909239574816028</v>
      </c>
      <c r="P79" s="16">
        <v>0.63643410852713178</v>
      </c>
      <c r="Q79" s="62">
        <v>0.70665269774751183</v>
      </c>
      <c r="R79" s="62">
        <v>0.68346456692913382</v>
      </c>
      <c r="S79" s="62">
        <v>0.73852721451440773</v>
      </c>
      <c r="T79" s="62">
        <v>0.75480059084194973</v>
      </c>
    </row>
    <row r="80" spans="1:20" x14ac:dyDescent="0.25">
      <c r="A80" s="121">
        <v>10</v>
      </c>
      <c r="B80" s="67" t="s">
        <v>128</v>
      </c>
      <c r="C80" s="16">
        <v>0.66370933671313903</v>
      </c>
      <c r="D80" s="16">
        <v>0.80710973724884083</v>
      </c>
      <c r="E80" s="16">
        <v>0.85166561910747962</v>
      </c>
      <c r="F80" s="16">
        <v>0.85353185595567871</v>
      </c>
      <c r="G80" s="16">
        <v>0.84222661396574439</v>
      </c>
      <c r="H80" s="16">
        <v>0.83181299885974913</v>
      </c>
      <c r="I80" s="16">
        <v>0.79679705959569436</v>
      </c>
      <c r="J80" s="16">
        <v>0.76205861989383794</v>
      </c>
      <c r="K80" s="16">
        <v>0.76258649486995944</v>
      </c>
      <c r="L80" s="16">
        <v>0.78424396442185518</v>
      </c>
      <c r="M80" s="16">
        <v>0.80022478224220284</v>
      </c>
      <c r="N80" s="16">
        <v>0.81969351157482884</v>
      </c>
      <c r="O80" s="16">
        <v>0.83693337389717071</v>
      </c>
      <c r="P80" s="16">
        <v>0.88554771402270638</v>
      </c>
      <c r="Q80" s="62">
        <v>0.88295517432208082</v>
      </c>
      <c r="R80" s="62">
        <v>0.84764614588722198</v>
      </c>
      <c r="S80" s="62">
        <v>0.85926292357160527</v>
      </c>
      <c r="T80" s="62">
        <v>0.85145586897179248</v>
      </c>
    </row>
    <row r="81" spans="1:20" x14ac:dyDescent="0.25">
      <c r="A81" s="121">
        <v>11</v>
      </c>
      <c r="B81" s="67" t="s">
        <v>165</v>
      </c>
      <c r="C81" s="16">
        <v>0.77071823204419887</v>
      </c>
      <c r="D81" s="16">
        <v>0.50415512465373957</v>
      </c>
      <c r="E81" s="41">
        <v>0.7317351598173516</v>
      </c>
      <c r="F81" s="16">
        <v>0.74619883040935675</v>
      </c>
      <c r="G81" s="16">
        <v>0.69273743016759781</v>
      </c>
      <c r="H81" s="16">
        <v>0.69923664122137408</v>
      </c>
      <c r="I81" s="16">
        <v>0.68976897689768979</v>
      </c>
      <c r="J81" s="16">
        <v>0.74188311688311692</v>
      </c>
      <c r="K81" s="16">
        <v>0.66623207301173404</v>
      </c>
      <c r="L81" s="16">
        <v>0.69105691056910568</v>
      </c>
      <c r="M81" s="16">
        <v>0.65697674418604646</v>
      </c>
      <c r="N81" s="16">
        <v>0.76630434782608692</v>
      </c>
      <c r="O81" s="16">
        <v>0.76133651551312653</v>
      </c>
      <c r="P81" s="16">
        <v>0.75724637681159424</v>
      </c>
      <c r="Q81" s="62">
        <v>0.79041916167664672</v>
      </c>
      <c r="R81" s="62">
        <v>0.78500000000000003</v>
      </c>
      <c r="S81" s="62">
        <v>0.755859375</v>
      </c>
      <c r="T81" s="62">
        <v>0.84005376344086025</v>
      </c>
    </row>
    <row r="82" spans="1:20" x14ac:dyDescent="0.25">
      <c r="A82" s="121">
        <v>13</v>
      </c>
      <c r="B82" s="67" t="s">
        <v>124</v>
      </c>
      <c r="C82" s="16">
        <v>0.81003302406038691</v>
      </c>
      <c r="D82" s="16">
        <v>0.80919743533053279</v>
      </c>
      <c r="E82" s="16">
        <v>0.85112703127730216</v>
      </c>
      <c r="F82" s="16">
        <v>0.81212484993997602</v>
      </c>
      <c r="G82" s="16">
        <v>0.7702782711663706</v>
      </c>
      <c r="H82" s="16">
        <v>0.79352801894238356</v>
      </c>
      <c r="I82" s="16">
        <v>0.73791935980301626</v>
      </c>
      <c r="J82" s="16">
        <v>0.75160450997398087</v>
      </c>
      <c r="K82" s="16">
        <v>0.76212832550860721</v>
      </c>
      <c r="L82" s="16">
        <v>0.75876194811106057</v>
      </c>
      <c r="M82" s="16">
        <v>0.77240788346186806</v>
      </c>
      <c r="N82" s="16">
        <v>0.77063679245283023</v>
      </c>
      <c r="O82" s="16">
        <v>0.7716087044946105</v>
      </c>
      <c r="P82" s="16">
        <v>0.84189995410738871</v>
      </c>
      <c r="Q82" s="62">
        <v>0.82748678519942331</v>
      </c>
      <c r="R82" s="62">
        <v>0.88698938276048223</v>
      </c>
      <c r="S82" s="62">
        <v>0.88113788729842357</v>
      </c>
      <c r="T82" s="62">
        <v>0.89375994343291498</v>
      </c>
    </row>
    <row r="83" spans="1:20" x14ac:dyDescent="0.25">
      <c r="A83" s="121">
        <v>17</v>
      </c>
      <c r="B83" s="67" t="s">
        <v>123</v>
      </c>
      <c r="C83" s="16">
        <v>0.70886075949367089</v>
      </c>
      <c r="D83" s="16">
        <v>0.65232163080407701</v>
      </c>
      <c r="E83" s="16">
        <v>0.64927536231884053</v>
      </c>
      <c r="F83" s="16">
        <v>0.70129870129870131</v>
      </c>
      <c r="G83" s="16">
        <v>0.60827586206896556</v>
      </c>
      <c r="H83" s="16">
        <v>0.600828729281768</v>
      </c>
      <c r="I83" s="16">
        <v>0.55689828801611274</v>
      </c>
      <c r="J83" s="16">
        <v>0.5533707865168539</v>
      </c>
      <c r="K83" s="16">
        <v>0.49778761061946902</v>
      </c>
      <c r="L83" s="16">
        <v>0.44570502431118314</v>
      </c>
      <c r="M83" s="16">
        <v>0.57603686635944695</v>
      </c>
      <c r="N83" s="16">
        <v>0.51027397260273977</v>
      </c>
      <c r="O83" s="16">
        <v>0.50498338870431891</v>
      </c>
      <c r="P83" s="16">
        <v>0.64489795918367343</v>
      </c>
      <c r="Q83" s="62">
        <v>0.69346733668341709</v>
      </c>
      <c r="R83" s="62">
        <v>0.64007092198581561</v>
      </c>
      <c r="S83" s="62">
        <v>0.70446096654275092</v>
      </c>
      <c r="T83" s="62">
        <v>0.64917541229385312</v>
      </c>
    </row>
    <row r="84" spans="1:20" x14ac:dyDescent="0.25">
      <c r="A84" s="121">
        <v>19</v>
      </c>
      <c r="B84" s="67" t="s">
        <v>143</v>
      </c>
      <c r="C84" s="16">
        <v>0.63814866760168298</v>
      </c>
      <c r="D84" s="16">
        <v>0.61723969366139808</v>
      </c>
      <c r="E84" s="16">
        <v>0.74391431353456672</v>
      </c>
      <c r="F84" s="16">
        <v>0.77238261883931181</v>
      </c>
      <c r="G84" s="16">
        <v>0.70424272323630976</v>
      </c>
      <c r="H84" s="16">
        <v>0.69465648854961837</v>
      </c>
      <c r="I84" s="16">
        <v>0.54745157450492365</v>
      </c>
      <c r="J84" s="16">
        <v>0.57756232686980613</v>
      </c>
      <c r="K84" s="16">
        <v>0.6655340836695689</v>
      </c>
      <c r="L84" s="16">
        <v>0.67230243161094227</v>
      </c>
      <c r="M84" s="16">
        <v>0.67056498105748641</v>
      </c>
      <c r="N84" s="16">
        <v>0.71193972179289022</v>
      </c>
      <c r="O84" s="16">
        <v>0.66723776889396536</v>
      </c>
      <c r="P84" s="16">
        <v>0.73488554099002157</v>
      </c>
      <c r="Q84" s="62">
        <v>0.78488153441143282</v>
      </c>
      <c r="R84" s="62">
        <v>0.72224802601021831</v>
      </c>
      <c r="S84" s="62">
        <v>0.7812050503436152</v>
      </c>
      <c r="T84" s="62">
        <v>0.83026755852842804</v>
      </c>
    </row>
    <row r="85" spans="1:20" x14ac:dyDescent="0.25">
      <c r="A85" s="121">
        <v>20</v>
      </c>
      <c r="B85" s="67" t="s">
        <v>161</v>
      </c>
      <c r="C85" s="16">
        <v>0.77892170143592521</v>
      </c>
      <c r="D85" s="16">
        <v>0.74670846394984325</v>
      </c>
      <c r="E85" s="16">
        <v>0.72927562034049187</v>
      </c>
      <c r="F85" s="16">
        <v>0.74351978171896316</v>
      </c>
      <c r="G85" s="16">
        <v>0.72868136439267883</v>
      </c>
      <c r="H85" s="16">
        <v>0.74511777733038054</v>
      </c>
      <c r="I85" s="16">
        <v>0.74170192759755527</v>
      </c>
      <c r="J85" s="16">
        <v>0.73649202733485197</v>
      </c>
      <c r="K85" s="16">
        <v>0.7380419729413018</v>
      </c>
      <c r="L85" s="16">
        <v>0.72829597729274742</v>
      </c>
      <c r="M85" s="16">
        <v>0.76383845053372945</v>
      </c>
      <c r="N85" s="16">
        <v>0.80886850152905199</v>
      </c>
      <c r="O85" s="16">
        <v>0.79177664974619288</v>
      </c>
      <c r="P85" s="16">
        <v>0.83046526449968128</v>
      </c>
      <c r="Q85" s="62">
        <v>0.80781688620168435</v>
      </c>
      <c r="R85" s="62">
        <v>0.78819406417697957</v>
      </c>
      <c r="S85" s="62">
        <v>0.81853676675653064</v>
      </c>
      <c r="T85" s="62">
        <v>0.82454397688278847</v>
      </c>
    </row>
    <row r="86" spans="1:20" x14ac:dyDescent="0.25">
      <c r="A86" s="121">
        <v>22</v>
      </c>
      <c r="B86" s="67" t="s">
        <v>134</v>
      </c>
      <c r="C86" s="16">
        <v>0.71732745961820854</v>
      </c>
      <c r="D86" s="16">
        <v>0.68581081081081086</v>
      </c>
      <c r="E86" s="16">
        <v>0.70591549295774647</v>
      </c>
      <c r="F86" s="16">
        <v>0.73316708229426431</v>
      </c>
      <c r="G86" s="16">
        <v>0.70638945233265715</v>
      </c>
      <c r="H86" s="16">
        <v>0.7495987158908507</v>
      </c>
      <c r="I86" s="16">
        <v>0.74767932489451472</v>
      </c>
      <c r="J86" s="16">
        <v>0.78936605316973418</v>
      </c>
      <c r="K86" s="16">
        <v>0.77004779607010088</v>
      </c>
      <c r="L86" s="16">
        <v>0.71006199332379594</v>
      </c>
      <c r="M86" s="16">
        <v>0.70133333333333336</v>
      </c>
      <c r="N86" s="16">
        <v>0.6961953435547984</v>
      </c>
      <c r="O86" s="16">
        <v>0.6678403755868545</v>
      </c>
      <c r="P86" s="16">
        <v>0.74835886214442016</v>
      </c>
      <c r="Q86" s="62">
        <v>0.71832979476291581</v>
      </c>
      <c r="R86" s="62">
        <v>0.72512526843235503</v>
      </c>
      <c r="S86" s="62">
        <v>0.77533664068036856</v>
      </c>
      <c r="T86" s="62">
        <v>0.76056338028169013</v>
      </c>
    </row>
    <row r="87" spans="1:20" x14ac:dyDescent="0.25">
      <c r="A87" s="121">
        <v>23</v>
      </c>
      <c r="B87" s="67" t="s">
        <v>164</v>
      </c>
      <c r="C87" s="16">
        <v>0.82408074981975488</v>
      </c>
      <c r="D87" s="16">
        <v>0.76853526220614832</v>
      </c>
      <c r="E87" s="16">
        <v>0.72597864768683273</v>
      </c>
      <c r="F87" s="16">
        <v>0.81111111111111112</v>
      </c>
      <c r="G87" s="16">
        <v>0.77836973894512518</v>
      </c>
      <c r="H87" s="16">
        <v>0.84226491405460058</v>
      </c>
      <c r="I87" s="16">
        <v>0.85484764542936287</v>
      </c>
      <c r="J87" s="16">
        <v>0.88395335924486396</v>
      </c>
      <c r="K87" s="16">
        <v>0.87930092845439656</v>
      </c>
      <c r="L87" s="16">
        <v>0.86439817166074151</v>
      </c>
      <c r="M87" s="16">
        <v>0.88375796178343946</v>
      </c>
      <c r="N87" s="16">
        <v>0.87790197764402411</v>
      </c>
      <c r="O87" s="16">
        <v>0.88510875627440044</v>
      </c>
      <c r="P87" s="16">
        <v>0.93028322440087141</v>
      </c>
      <c r="Q87" s="62">
        <v>0.89514779698828784</v>
      </c>
      <c r="R87" s="62">
        <v>0.89301310043668125</v>
      </c>
      <c r="S87" s="62">
        <v>0.89894179894179893</v>
      </c>
      <c r="T87" s="62">
        <v>0.8982960596379127</v>
      </c>
    </row>
    <row r="88" spans="1:20" x14ac:dyDescent="0.25">
      <c r="A88" s="121">
        <v>26</v>
      </c>
      <c r="B88" s="67" t="s">
        <v>149</v>
      </c>
      <c r="C88" s="16">
        <v>0.75143678160919536</v>
      </c>
      <c r="D88" s="16">
        <v>0.77099236641221369</v>
      </c>
      <c r="E88" s="16">
        <v>0.75029171528588101</v>
      </c>
      <c r="F88" s="16">
        <v>0.76059113300492609</v>
      </c>
      <c r="G88" s="16">
        <v>0.68329177057356605</v>
      </c>
      <c r="H88" s="16">
        <v>0.60230179028132991</v>
      </c>
      <c r="I88" s="16">
        <v>0.62593984962406013</v>
      </c>
      <c r="J88" s="16">
        <v>0.6265709156193896</v>
      </c>
      <c r="K88" s="16">
        <v>0.60738714090287282</v>
      </c>
      <c r="L88" s="16">
        <v>0.60960960960960964</v>
      </c>
      <c r="M88" s="16">
        <v>0.5342723004694836</v>
      </c>
      <c r="N88" s="16">
        <v>0.57583774250440922</v>
      </c>
      <c r="O88" s="16">
        <v>0.56244218316373729</v>
      </c>
      <c r="P88" s="16">
        <v>0.62295081967213117</v>
      </c>
      <c r="Q88" s="62">
        <v>0.6871750433275563</v>
      </c>
      <c r="R88" s="62">
        <v>0.70023557126030622</v>
      </c>
      <c r="S88" s="62">
        <v>0.69628727936701151</v>
      </c>
      <c r="T88" s="62">
        <v>0.69205298013245031</v>
      </c>
    </row>
    <row r="89" spans="1:20" x14ac:dyDescent="0.25">
      <c r="A89" s="121">
        <v>31</v>
      </c>
      <c r="B89" s="67" t="s">
        <v>158</v>
      </c>
      <c r="C89" s="16">
        <v>0.82305103757711717</v>
      </c>
      <c r="D89" s="16">
        <v>0.82195063503474719</v>
      </c>
      <c r="E89" s="16">
        <v>0.83774063888301253</v>
      </c>
      <c r="F89" s="16">
        <v>0.8451319035870184</v>
      </c>
      <c r="G89" s="16">
        <v>0.82587589700295483</v>
      </c>
      <c r="H89" s="16">
        <v>0.80709192522644058</v>
      </c>
      <c r="I89" s="16">
        <v>0.79755671902268765</v>
      </c>
      <c r="J89" s="16">
        <v>0.82156133828996281</v>
      </c>
      <c r="K89" s="16">
        <v>0.83834319526627221</v>
      </c>
      <c r="L89" s="16">
        <v>0.87370794963352749</v>
      </c>
      <c r="M89" s="16">
        <v>0.89110541727672032</v>
      </c>
      <c r="N89" s="16">
        <v>0.89738770907724108</v>
      </c>
      <c r="O89" s="16">
        <v>0.87135568513119532</v>
      </c>
      <c r="P89" s="16">
        <v>0.89389687828831987</v>
      </c>
      <c r="Q89" s="62">
        <v>0.88057652711050105</v>
      </c>
      <c r="R89" s="62">
        <v>0.84356035064059343</v>
      </c>
      <c r="S89" s="62">
        <v>0.84466332956563861</v>
      </c>
      <c r="T89" s="62">
        <v>0.87843682421995672</v>
      </c>
    </row>
    <row r="90" spans="1:20" x14ac:dyDescent="0.25">
      <c r="A90" s="121">
        <v>34</v>
      </c>
      <c r="B90" s="67" t="s">
        <v>142</v>
      </c>
      <c r="C90" s="16">
        <v>0.89184060721062619</v>
      </c>
      <c r="D90" s="16">
        <v>0.88524590163934425</v>
      </c>
      <c r="E90" s="41">
        <v>0.89891696750902528</v>
      </c>
      <c r="F90" s="16">
        <v>0.8800448430493274</v>
      </c>
      <c r="G90" s="16">
        <v>0.87704130643611911</v>
      </c>
      <c r="H90" s="16">
        <v>0.88922764227642281</v>
      </c>
      <c r="I90" s="16">
        <v>0.90523123578468534</v>
      </c>
      <c r="J90" s="16">
        <v>0.8886554621848739</v>
      </c>
      <c r="K90" s="16">
        <v>0.87653311529026978</v>
      </c>
      <c r="L90" s="16">
        <v>0.88650793650793647</v>
      </c>
      <c r="M90" s="16">
        <v>0.89888535031847139</v>
      </c>
      <c r="N90" s="16">
        <v>0.89674796747967478</v>
      </c>
      <c r="O90" s="16">
        <v>0.89614476789929187</v>
      </c>
      <c r="P90" s="16">
        <v>0.94070278184480238</v>
      </c>
      <c r="Q90" s="62">
        <v>0.90428441203281673</v>
      </c>
      <c r="R90" s="62">
        <v>0.87953667953667958</v>
      </c>
      <c r="S90" s="62">
        <v>0.90418736692689849</v>
      </c>
      <c r="T90" s="62">
        <v>0.91251682368775233</v>
      </c>
    </row>
    <row r="91" spans="1:20" x14ac:dyDescent="0.25">
      <c r="A91" s="121">
        <v>38</v>
      </c>
      <c r="B91" s="67" t="s">
        <v>163</v>
      </c>
      <c r="C91" s="16">
        <v>0.69827586206896552</v>
      </c>
      <c r="D91" s="16">
        <v>0.57777777777777772</v>
      </c>
      <c r="E91" s="16">
        <v>0.7303370786516854</v>
      </c>
      <c r="F91" s="16">
        <v>0.75151515151515147</v>
      </c>
      <c r="G91" s="16">
        <v>0.80921052631578949</v>
      </c>
      <c r="H91" s="16">
        <v>0.81846153846153846</v>
      </c>
      <c r="I91" s="16">
        <v>0.79669030732860524</v>
      </c>
      <c r="J91" s="16">
        <v>0.82857142857142863</v>
      </c>
      <c r="K91" s="16">
        <v>0.82294264339152123</v>
      </c>
      <c r="L91" s="16">
        <v>0.83295194508009152</v>
      </c>
      <c r="M91" s="16">
        <v>0.84035476718403546</v>
      </c>
      <c r="N91" s="16">
        <v>0.83368421052631581</v>
      </c>
      <c r="O91" s="16">
        <v>0.84710743801652888</v>
      </c>
      <c r="P91" s="16">
        <v>0.89154411764705888</v>
      </c>
      <c r="Q91" s="62">
        <v>0.86736842105263157</v>
      </c>
      <c r="R91" s="62">
        <v>0.86404293381037567</v>
      </c>
      <c r="S91" s="62">
        <v>0.86151368760064417</v>
      </c>
      <c r="T91" s="62">
        <v>0.85416666666666663</v>
      </c>
    </row>
    <row r="92" spans="1:20" x14ac:dyDescent="0.25">
      <c r="A92" s="121">
        <v>39</v>
      </c>
      <c r="B92" s="67" t="s">
        <v>125</v>
      </c>
      <c r="C92" s="16">
        <v>0.69804976462676527</v>
      </c>
      <c r="D92" s="16">
        <v>0.81259953990444167</v>
      </c>
      <c r="E92" s="16">
        <v>0.85373075404658505</v>
      </c>
      <c r="F92" s="16">
        <v>0.81469599755575928</v>
      </c>
      <c r="G92" s="16">
        <v>0.82305029525554874</v>
      </c>
      <c r="H92" s="16">
        <v>0.82591477902740373</v>
      </c>
      <c r="I92" s="16">
        <v>0.79257073424752644</v>
      </c>
      <c r="J92" s="16">
        <v>0.80025844563411486</v>
      </c>
      <c r="K92" s="16">
        <v>0.80918349115597643</v>
      </c>
      <c r="L92" s="16">
        <v>0.82646420824295008</v>
      </c>
      <c r="M92" s="16">
        <v>0.84377510040160641</v>
      </c>
      <c r="N92" s="16">
        <v>0.82672131147540984</v>
      </c>
      <c r="O92" s="16">
        <v>0.83774338492261613</v>
      </c>
      <c r="P92" s="16">
        <v>0.84838830584707647</v>
      </c>
      <c r="Q92" s="62">
        <v>0.81254701369038662</v>
      </c>
      <c r="R92" s="62">
        <v>0.80934739241949272</v>
      </c>
      <c r="S92" s="62">
        <v>0.7932555940750079</v>
      </c>
      <c r="T92" s="62">
        <v>0.81838905775075987</v>
      </c>
    </row>
    <row r="93" spans="1:20" x14ac:dyDescent="0.25">
      <c r="A93" s="121">
        <v>42</v>
      </c>
      <c r="B93" s="67" t="s">
        <v>233</v>
      </c>
      <c r="C93" s="16">
        <v>0.76282051282051277</v>
      </c>
      <c r="D93" s="16">
        <v>0.81824611032531824</v>
      </c>
      <c r="E93" s="16">
        <v>0.80571030640668528</v>
      </c>
      <c r="F93" s="16">
        <v>0.80506091846298033</v>
      </c>
      <c r="G93" s="16">
        <v>0.75690115761353516</v>
      </c>
      <c r="H93" s="16">
        <v>0.77109704641350207</v>
      </c>
      <c r="I93" s="16">
        <v>0.79057017543859653</v>
      </c>
      <c r="J93" s="16">
        <v>0.80830972615675167</v>
      </c>
      <c r="K93" s="16">
        <v>0.82363315696649031</v>
      </c>
      <c r="L93" s="16">
        <v>0.87023411371237458</v>
      </c>
      <c r="M93" s="16">
        <v>0.85615010423905491</v>
      </c>
      <c r="N93" s="16">
        <v>0.82873274780426598</v>
      </c>
      <c r="O93" s="16">
        <v>0.83673469387755106</v>
      </c>
      <c r="P93" s="16">
        <v>0.87125557680050991</v>
      </c>
      <c r="Q93" s="62">
        <v>0.87298578199052135</v>
      </c>
      <c r="R93" s="62">
        <v>0.83937316356513225</v>
      </c>
      <c r="S93" s="62">
        <v>0.83600837404047457</v>
      </c>
      <c r="T93" s="62">
        <v>0.84008683068017365</v>
      </c>
    </row>
    <row r="94" spans="1:20" x14ac:dyDescent="0.25">
      <c r="A94" s="121">
        <v>45</v>
      </c>
      <c r="B94" s="67" t="s">
        <v>132</v>
      </c>
      <c r="C94" s="16">
        <v>0.83690068493150682</v>
      </c>
      <c r="D94" s="16">
        <v>0.85353535353535348</v>
      </c>
      <c r="E94" s="16">
        <v>0.84692542520715219</v>
      </c>
      <c r="F94" s="16">
        <v>0.88441998306519898</v>
      </c>
      <c r="G94" s="16">
        <v>0.84761045987376016</v>
      </c>
      <c r="H94" s="16">
        <v>0.85426008968609868</v>
      </c>
      <c r="I94" s="16">
        <v>0.85641025641025637</v>
      </c>
      <c r="J94" s="16">
        <v>0.79587792310741179</v>
      </c>
      <c r="K94" s="16">
        <v>0.7670772676371781</v>
      </c>
      <c r="L94" s="16">
        <v>0.7562477363274176</v>
      </c>
      <c r="M94" s="16">
        <v>0.82455516014234875</v>
      </c>
      <c r="N94" s="16">
        <v>0.83865119651921682</v>
      </c>
      <c r="O94" s="16">
        <v>0.84882005899705015</v>
      </c>
      <c r="P94" s="16">
        <v>0.89473684210526316</v>
      </c>
      <c r="Q94" s="62">
        <v>0.8511422254974208</v>
      </c>
      <c r="R94" s="62">
        <v>0.85267229254571031</v>
      </c>
      <c r="S94" s="62">
        <v>0.8727079457879352</v>
      </c>
      <c r="T94" s="62">
        <v>0.87866625501698059</v>
      </c>
    </row>
    <row r="95" spans="1:20" x14ac:dyDescent="0.25">
      <c r="A95" s="121">
        <v>46</v>
      </c>
      <c r="B95" s="67" t="s">
        <v>151</v>
      </c>
      <c r="C95" s="16">
        <v>0.56546489563567359</v>
      </c>
      <c r="D95" s="16">
        <v>0.55809523809523809</v>
      </c>
      <c r="E95" s="16">
        <v>0.3666975594686438</v>
      </c>
      <c r="F95" s="16">
        <v>0.70350969093766369</v>
      </c>
      <c r="G95" s="16">
        <v>0.63541336712068419</v>
      </c>
      <c r="H95" s="16">
        <v>0.65202108963093142</v>
      </c>
      <c r="I95" s="16">
        <v>0.69105949729557747</v>
      </c>
      <c r="J95" s="16">
        <v>0.58734939759036142</v>
      </c>
      <c r="K95" s="16">
        <v>0.58055009823182713</v>
      </c>
      <c r="L95" s="16">
        <v>0.61351351351351346</v>
      </c>
      <c r="M95" s="16">
        <v>0.56674757281553401</v>
      </c>
      <c r="N95" s="16">
        <v>0.55220277610138802</v>
      </c>
      <c r="O95" s="16">
        <v>0.58977900552486184</v>
      </c>
      <c r="P95" s="16">
        <v>0.60788381742738584</v>
      </c>
      <c r="Q95" s="62">
        <v>0.62322472848788635</v>
      </c>
      <c r="R95" s="62">
        <v>0.65499573014517509</v>
      </c>
      <c r="S95" s="62">
        <v>0.56766575840145328</v>
      </c>
      <c r="T95" s="62">
        <v>0.61469534050179209</v>
      </c>
    </row>
    <row r="96" spans="1:20" x14ac:dyDescent="0.25">
      <c r="A96" s="121">
        <v>50</v>
      </c>
      <c r="B96" s="67" t="s">
        <v>157</v>
      </c>
      <c r="C96" s="16">
        <v>0.71882086167800452</v>
      </c>
      <c r="D96" s="16">
        <v>0.78746928746928746</v>
      </c>
      <c r="E96" s="16">
        <v>0.79147358665430956</v>
      </c>
      <c r="F96" s="16">
        <v>0.78816466552315612</v>
      </c>
      <c r="G96" s="16">
        <v>0.79890023566378632</v>
      </c>
      <c r="H96" s="16">
        <v>0.66164154103852602</v>
      </c>
      <c r="I96" s="16">
        <v>0.6825</v>
      </c>
      <c r="J96" s="16">
        <v>0.82375776397515532</v>
      </c>
      <c r="K96" s="16">
        <v>0.82552504038772212</v>
      </c>
      <c r="L96" s="16">
        <v>0.81427530954115079</v>
      </c>
      <c r="M96" s="16">
        <v>0.83639143730886845</v>
      </c>
      <c r="N96" s="16">
        <v>0.8024861878453039</v>
      </c>
      <c r="O96" s="16">
        <v>0.84125560538116595</v>
      </c>
      <c r="P96" s="16">
        <v>0.87205081669691475</v>
      </c>
      <c r="Q96" s="62">
        <v>0.92966855295068718</v>
      </c>
      <c r="R96" s="62">
        <v>0.91620553359683798</v>
      </c>
      <c r="S96" s="62">
        <v>0.90152063721940623</v>
      </c>
      <c r="T96" s="62">
        <v>0.91436659589525826</v>
      </c>
    </row>
    <row r="97" spans="1:20" x14ac:dyDescent="0.25">
      <c r="A97" s="121">
        <v>68</v>
      </c>
      <c r="B97" s="67" t="s">
        <v>126</v>
      </c>
      <c r="C97" s="16">
        <v>0.64835164835164838</v>
      </c>
      <c r="D97" s="16">
        <v>0.41921397379912662</v>
      </c>
      <c r="E97" s="16">
        <v>0.41484716157205243</v>
      </c>
      <c r="F97" s="16">
        <v>0.49538461538461537</v>
      </c>
      <c r="G97" s="16">
        <v>0.51264367816091949</v>
      </c>
      <c r="H97" s="16">
        <v>0.47814207650273222</v>
      </c>
      <c r="I97" s="16">
        <v>0.58454106280193241</v>
      </c>
      <c r="J97" s="16">
        <v>0.6</v>
      </c>
      <c r="K97" s="16">
        <v>0.67479674796747968</v>
      </c>
      <c r="L97" s="16">
        <v>0.6560509554140127</v>
      </c>
      <c r="M97" s="16">
        <v>0.54887218045112784</v>
      </c>
      <c r="N97" s="16">
        <v>0.63846153846153841</v>
      </c>
      <c r="O97" s="16">
        <v>0.58399999999999996</v>
      </c>
      <c r="P97" s="16">
        <v>0.63070539419087135</v>
      </c>
      <c r="Q97" s="62">
        <v>0.58260869565217388</v>
      </c>
      <c r="R97" s="62">
        <v>0.69724770642201839</v>
      </c>
      <c r="S97" s="62">
        <v>0.68396226415094341</v>
      </c>
      <c r="T97" s="62">
        <v>0.69433962264150939</v>
      </c>
    </row>
    <row r="98" spans="1:20" x14ac:dyDescent="0.25">
      <c r="A98" s="121">
        <v>69</v>
      </c>
      <c r="B98" s="67" t="s">
        <v>162</v>
      </c>
      <c r="C98" s="16">
        <v>0.74151436031331597</v>
      </c>
      <c r="D98" s="16">
        <v>0.81947261663286008</v>
      </c>
      <c r="E98" s="16">
        <v>0.82836710369487487</v>
      </c>
      <c r="F98" s="16">
        <v>0.82419855222337124</v>
      </c>
      <c r="G98" s="16">
        <v>0.76867963152507679</v>
      </c>
      <c r="H98" s="16">
        <v>0.77229299363057324</v>
      </c>
      <c r="I98" s="16">
        <v>0.76814814814814814</v>
      </c>
      <c r="J98" s="16">
        <v>0.75722543352601157</v>
      </c>
      <c r="K98" s="16">
        <v>0.76758793969849248</v>
      </c>
      <c r="L98" s="16">
        <v>0.75483158475980117</v>
      </c>
      <c r="M98" s="16">
        <v>0.76623376623376627</v>
      </c>
      <c r="N98" s="16">
        <v>0.76585059635907093</v>
      </c>
      <c r="O98" s="16">
        <v>0.80808729139922975</v>
      </c>
      <c r="P98" s="16">
        <v>0.82959048877146635</v>
      </c>
      <c r="Q98" s="62">
        <v>0.83208020050125309</v>
      </c>
      <c r="R98" s="62">
        <v>0.81043350477590004</v>
      </c>
      <c r="S98" s="62">
        <v>0.81856540084388185</v>
      </c>
      <c r="T98" s="62">
        <v>0.81605751947273819</v>
      </c>
    </row>
    <row r="99" spans="1:20" x14ac:dyDescent="0.25">
      <c r="A99" s="121">
        <v>70</v>
      </c>
      <c r="B99" s="67" t="s">
        <v>147</v>
      </c>
      <c r="C99" s="16">
        <v>0.8635473340587595</v>
      </c>
      <c r="D99" s="16">
        <v>0.85078141725540568</v>
      </c>
      <c r="E99" s="16">
        <v>0.85847299813780265</v>
      </c>
      <c r="F99" s="16">
        <v>0.85079211121888132</v>
      </c>
      <c r="G99" s="16">
        <v>0.81636838180462346</v>
      </c>
      <c r="H99" s="16">
        <v>0.81502676758353332</v>
      </c>
      <c r="I99" s="16">
        <v>0.80781527531083486</v>
      </c>
      <c r="J99" s="16">
        <v>0.82113410735318859</v>
      </c>
      <c r="K99" s="16">
        <v>0.81593625498007971</v>
      </c>
      <c r="L99" s="16">
        <v>0.83136046700178368</v>
      </c>
      <c r="M99" s="16">
        <v>0.85173401209035948</v>
      </c>
      <c r="N99" s="16">
        <v>0.85098160457566863</v>
      </c>
      <c r="O99" s="16">
        <v>0.8565022421524664</v>
      </c>
      <c r="P99" s="16">
        <v>0.90847675727843014</v>
      </c>
      <c r="Q99" s="62">
        <v>0.88713611969425921</v>
      </c>
      <c r="R99" s="62">
        <v>0.87379560890854524</v>
      </c>
      <c r="S99" s="62">
        <v>0.88329860077403988</v>
      </c>
      <c r="T99" s="62">
        <v>0.8806102799585247</v>
      </c>
    </row>
    <row r="100" spans="1:20" x14ac:dyDescent="0.25">
      <c r="A100" s="121">
        <v>71</v>
      </c>
      <c r="B100" s="67" t="s">
        <v>138</v>
      </c>
      <c r="C100" s="16">
        <v>0.81542056074766356</v>
      </c>
      <c r="D100" s="16">
        <v>0.82202914798206284</v>
      </c>
      <c r="E100" s="16">
        <v>0.83149096791588029</v>
      </c>
      <c r="F100" s="16">
        <v>0.80542136339237791</v>
      </c>
      <c r="G100" s="16">
        <v>0.76003941857600399</v>
      </c>
      <c r="H100" s="16">
        <v>0.82498851630684433</v>
      </c>
      <c r="I100" s="16">
        <v>0.79289493575207859</v>
      </c>
      <c r="J100" s="16">
        <v>0.80166374781085814</v>
      </c>
      <c r="K100" s="16">
        <v>0.75739400206825236</v>
      </c>
      <c r="L100" s="16">
        <v>0.79264456811033146</v>
      </c>
      <c r="M100" s="16">
        <v>0.7769285884881777</v>
      </c>
      <c r="N100" s="16">
        <v>0.76280623608017817</v>
      </c>
      <c r="O100" s="16">
        <v>0.74881026277674323</v>
      </c>
      <c r="P100" s="16">
        <v>0.86693629929221439</v>
      </c>
      <c r="Q100" s="62">
        <v>0.82281013783903956</v>
      </c>
      <c r="R100" s="62">
        <v>0.7982681956470864</v>
      </c>
      <c r="S100" s="62">
        <v>0.78177150192554556</v>
      </c>
      <c r="T100" s="62">
        <v>0.79110576923076925</v>
      </c>
    </row>
    <row r="101" spans="1:20" x14ac:dyDescent="0.25">
      <c r="A101" s="121">
        <v>72</v>
      </c>
      <c r="B101" s="67" t="s">
        <v>135</v>
      </c>
      <c r="C101" s="16">
        <v>0.80175566934893927</v>
      </c>
      <c r="D101" s="16">
        <v>0.7415300546448087</v>
      </c>
      <c r="E101" s="16">
        <v>0.77151639344262291</v>
      </c>
      <c r="F101" s="16">
        <v>0.8</v>
      </c>
      <c r="G101" s="16">
        <v>0.78507164278573804</v>
      </c>
      <c r="H101" s="16">
        <v>0.81516443361753954</v>
      </c>
      <c r="I101" s="16">
        <v>0.77966101694915257</v>
      </c>
      <c r="J101" s="16">
        <v>0.8058968058968059</v>
      </c>
      <c r="K101" s="16">
        <v>0.8253189401373896</v>
      </c>
      <c r="L101" s="16">
        <v>0.82230569199653281</v>
      </c>
      <c r="M101" s="16">
        <v>0.82138694638694643</v>
      </c>
      <c r="N101" s="16">
        <v>0.80780182232346243</v>
      </c>
      <c r="O101" s="16">
        <v>0.81231925968768071</v>
      </c>
      <c r="P101" s="16">
        <v>0.88084265964450292</v>
      </c>
      <c r="Q101" s="62">
        <v>0.84124152693542631</v>
      </c>
      <c r="R101" s="62">
        <v>0.79838991949597482</v>
      </c>
      <c r="S101" s="62">
        <v>0.78710876975519062</v>
      </c>
      <c r="T101" s="62">
        <v>0.81480371591249623</v>
      </c>
    </row>
    <row r="102" spans="1:20" x14ac:dyDescent="0.25">
      <c r="A102" s="121">
        <v>73</v>
      </c>
      <c r="B102" s="67" t="s">
        <v>150</v>
      </c>
      <c r="C102" s="16">
        <v>0.76362349610757252</v>
      </c>
      <c r="D102" s="16">
        <v>0.79557195571955719</v>
      </c>
      <c r="E102" s="16">
        <v>0.77015558698727016</v>
      </c>
      <c r="F102" s="16">
        <v>0.79296066252587993</v>
      </c>
      <c r="G102" s="16">
        <v>0.71123417721518989</v>
      </c>
      <c r="H102" s="16">
        <v>0.79003267973856206</v>
      </c>
      <c r="I102" s="16">
        <v>0.76621525302922311</v>
      </c>
      <c r="J102" s="16">
        <v>0.79033311561071196</v>
      </c>
      <c r="K102" s="16">
        <v>0.75165363800360796</v>
      </c>
      <c r="L102" s="16">
        <v>0.77603583426651734</v>
      </c>
      <c r="M102" s="16">
        <v>0.79250891795481571</v>
      </c>
      <c r="N102" s="16">
        <v>0.80075390414647285</v>
      </c>
      <c r="O102" s="16">
        <v>0.80502793296089381</v>
      </c>
      <c r="P102" s="16">
        <v>0.82819116757410771</v>
      </c>
      <c r="Q102" s="62">
        <v>0.81254214430209037</v>
      </c>
      <c r="R102" s="62">
        <v>0.78631875881523272</v>
      </c>
      <c r="S102" s="62">
        <v>0.77905491698595142</v>
      </c>
      <c r="T102" s="62">
        <v>0.80193548387096769</v>
      </c>
    </row>
    <row r="103" spans="1:20" x14ac:dyDescent="0.25">
      <c r="A103" s="121">
        <v>74</v>
      </c>
      <c r="B103" s="67" t="s">
        <v>144</v>
      </c>
      <c r="C103" s="16">
        <v>0.8342857142857143</v>
      </c>
      <c r="D103" s="16">
        <v>0.83870967741935487</v>
      </c>
      <c r="E103" s="16">
        <v>0.82912621359223304</v>
      </c>
      <c r="F103" s="16">
        <v>0.83105022831050224</v>
      </c>
      <c r="G103" s="16">
        <v>0.78412911903160731</v>
      </c>
      <c r="H103" s="16">
        <v>0.8282763072950291</v>
      </c>
      <c r="I103" s="16">
        <v>0.78045763760049469</v>
      </c>
      <c r="J103" s="16">
        <v>0.79430789133247093</v>
      </c>
      <c r="K103" s="16">
        <v>0.76452410383189118</v>
      </c>
      <c r="L103" s="16">
        <v>0.80895522388059704</v>
      </c>
      <c r="M103" s="16">
        <v>0.83060417843026535</v>
      </c>
      <c r="N103" s="16">
        <v>0.77771461057418989</v>
      </c>
      <c r="O103" s="16">
        <v>0.7515320334261838</v>
      </c>
      <c r="P103" s="16">
        <v>0.88993525603296053</v>
      </c>
      <c r="Q103" s="62">
        <v>0.85167130919220058</v>
      </c>
      <c r="R103" s="62">
        <v>0.80984848484848482</v>
      </c>
      <c r="S103" s="62">
        <v>0.81790312691600242</v>
      </c>
      <c r="T103" s="62">
        <v>0.82012724117987279</v>
      </c>
    </row>
    <row r="104" spans="1:20" x14ac:dyDescent="0.25">
      <c r="A104" s="121">
        <v>75</v>
      </c>
      <c r="B104" s="67" t="s">
        <v>133</v>
      </c>
      <c r="C104" s="16">
        <v>0.84571660576532681</v>
      </c>
      <c r="D104" s="16">
        <v>0.82553956834532372</v>
      </c>
      <c r="E104" s="16">
        <v>0.84552141929900471</v>
      </c>
      <c r="F104" s="16">
        <v>0.8798955613577023</v>
      </c>
      <c r="G104" s="16">
        <v>0.83115124153498876</v>
      </c>
      <c r="H104" s="16">
        <v>0.88134015821312239</v>
      </c>
      <c r="I104" s="16">
        <v>0.86715391229578676</v>
      </c>
      <c r="J104" s="16">
        <v>0.84426229508196726</v>
      </c>
      <c r="K104" s="16">
        <v>0.82418952618453867</v>
      </c>
      <c r="L104" s="16">
        <v>0.85859012241452093</v>
      </c>
      <c r="M104" s="16">
        <v>0.84355701934952654</v>
      </c>
      <c r="N104" s="16">
        <v>0.79019292604501612</v>
      </c>
      <c r="O104" s="16">
        <v>0.78922345483359746</v>
      </c>
      <c r="P104" s="16">
        <v>0.88888888888888884</v>
      </c>
      <c r="Q104" s="62">
        <v>0.85852798589687085</v>
      </c>
      <c r="R104" s="62">
        <v>0.82264736297828334</v>
      </c>
      <c r="S104" s="62">
        <v>0.83213644524236985</v>
      </c>
      <c r="T104" s="62">
        <v>0.84212712920648114</v>
      </c>
    </row>
    <row r="105" spans="1:20" x14ac:dyDescent="0.25">
      <c r="A105" s="121">
        <v>76</v>
      </c>
      <c r="B105" s="67" t="s">
        <v>145</v>
      </c>
      <c r="C105" s="16">
        <v>0.88108441158348738</v>
      </c>
      <c r="D105" s="16">
        <v>0.8712814645308925</v>
      </c>
      <c r="E105" s="16">
        <v>0.84658143413007225</v>
      </c>
      <c r="F105" s="16">
        <v>0.8437815975733064</v>
      </c>
      <c r="G105" s="16">
        <v>0.82007474639615585</v>
      </c>
      <c r="H105" s="16">
        <v>0.84396467124631991</v>
      </c>
      <c r="I105" s="16">
        <v>0.83732789393166751</v>
      </c>
      <c r="J105" s="16">
        <v>0.84569437531110003</v>
      </c>
      <c r="K105" s="16">
        <v>0.83433317951084451</v>
      </c>
      <c r="L105" s="16">
        <v>0.82411604714415232</v>
      </c>
      <c r="M105" s="16">
        <v>0.83432222729347327</v>
      </c>
      <c r="N105" s="16">
        <v>0.85214348206474189</v>
      </c>
      <c r="O105" s="16">
        <v>0.83975273418925345</v>
      </c>
      <c r="P105" s="16">
        <v>0.93738317757009348</v>
      </c>
      <c r="Q105" s="62">
        <v>0.86127477236207817</v>
      </c>
      <c r="R105" s="62">
        <v>0.86240913811007269</v>
      </c>
      <c r="S105" s="62">
        <v>0.86559633027522931</v>
      </c>
      <c r="T105" s="62">
        <v>0.84553928095872166</v>
      </c>
    </row>
    <row r="106" spans="1:20" x14ac:dyDescent="0.25">
      <c r="A106" s="121">
        <v>77</v>
      </c>
      <c r="B106" s="67" t="s">
        <v>140</v>
      </c>
      <c r="C106" s="16">
        <v>0.71138669673055244</v>
      </c>
      <c r="D106" s="16">
        <v>0.69655172413793098</v>
      </c>
      <c r="E106" s="16">
        <v>0.75595238095238093</v>
      </c>
      <c r="F106" s="16">
        <v>0.71979166666666672</v>
      </c>
      <c r="G106" s="16">
        <v>0.7488721804511278</v>
      </c>
      <c r="H106" s="16">
        <v>0.76101468624833113</v>
      </c>
      <c r="I106" s="16">
        <v>0.73543015726179461</v>
      </c>
      <c r="J106" s="16">
        <v>0.72894078398665552</v>
      </c>
      <c r="K106" s="16">
        <v>0.75137686860739572</v>
      </c>
      <c r="L106" s="16">
        <v>0.73286604361370722</v>
      </c>
      <c r="M106" s="16">
        <v>0.76201923076923073</v>
      </c>
      <c r="N106" s="16">
        <v>0.73004115226337452</v>
      </c>
      <c r="O106" s="16">
        <v>0.71481140754369821</v>
      </c>
      <c r="P106" s="16">
        <v>0.81113537117903933</v>
      </c>
      <c r="Q106" s="62">
        <v>0.74012855831037649</v>
      </c>
      <c r="R106" s="62">
        <v>0.76432432432432429</v>
      </c>
      <c r="S106" s="62">
        <v>0.78839285714285712</v>
      </c>
      <c r="T106" s="62">
        <v>0.79788172992056483</v>
      </c>
    </row>
    <row r="107" spans="1:20" x14ac:dyDescent="0.25">
      <c r="A107" s="121">
        <v>78</v>
      </c>
      <c r="B107" s="67" t="s">
        <v>137</v>
      </c>
      <c r="C107" s="16">
        <v>0.90961677512653649</v>
      </c>
      <c r="D107" s="16">
        <v>0.86696230598669621</v>
      </c>
      <c r="E107" s="16">
        <v>0.90318118948824344</v>
      </c>
      <c r="F107" s="16">
        <v>0.87628111273792098</v>
      </c>
      <c r="G107" s="16">
        <v>0.82735918068763714</v>
      </c>
      <c r="H107" s="16">
        <v>0.86780032912781135</v>
      </c>
      <c r="I107" s="16">
        <v>0.86396074933095446</v>
      </c>
      <c r="J107" s="16">
        <v>0.86024351508734775</v>
      </c>
      <c r="K107" s="16">
        <v>0.84266263237518912</v>
      </c>
      <c r="L107" s="16">
        <v>0.84442221110555282</v>
      </c>
      <c r="M107" s="16">
        <v>0.83994126284875181</v>
      </c>
      <c r="N107" s="16">
        <v>0.83737024221453282</v>
      </c>
      <c r="O107" s="16">
        <v>0.84480369515011544</v>
      </c>
      <c r="P107" s="16">
        <v>0.8537148131056761</v>
      </c>
      <c r="Q107" s="62">
        <v>0.82282712511938871</v>
      </c>
      <c r="R107" s="62">
        <v>0.81091431306845385</v>
      </c>
      <c r="S107" s="62">
        <v>0.82712431979907908</v>
      </c>
      <c r="T107" s="62">
        <v>0.85852478839177748</v>
      </c>
    </row>
    <row r="108" spans="1:20" x14ac:dyDescent="0.25">
      <c r="A108" s="121">
        <v>79</v>
      </c>
      <c r="B108" s="67" t="s">
        <v>148</v>
      </c>
      <c r="C108" s="16">
        <v>0.81001727115716748</v>
      </c>
      <c r="D108" s="16">
        <v>0.58387096774193548</v>
      </c>
      <c r="E108" s="16">
        <v>0.69955156950672648</v>
      </c>
      <c r="F108" s="16">
        <v>0.70061728395061729</v>
      </c>
      <c r="G108" s="16">
        <v>0.59169199594731514</v>
      </c>
      <c r="H108" s="16">
        <v>0.68008255933952533</v>
      </c>
      <c r="I108" s="16">
        <v>0.70023148148148151</v>
      </c>
      <c r="J108" s="16">
        <v>0.54905335628227192</v>
      </c>
      <c r="K108" s="16">
        <v>0.69809069212410502</v>
      </c>
      <c r="L108" s="16">
        <v>0.7369488089204258</v>
      </c>
      <c r="M108" s="16">
        <v>0.7323279924599434</v>
      </c>
      <c r="N108" s="16">
        <v>0.73563218390804597</v>
      </c>
      <c r="O108" s="16">
        <v>0.66716122650840748</v>
      </c>
      <c r="P108" s="16">
        <v>0.78360849056603776</v>
      </c>
      <c r="Q108" s="62">
        <v>0.77470355731225293</v>
      </c>
      <c r="R108" s="62">
        <v>0.73498452012383897</v>
      </c>
      <c r="S108" s="62">
        <v>0.797501301405518</v>
      </c>
      <c r="T108" s="62">
        <v>0.76099706744868034</v>
      </c>
    </row>
    <row r="109" spans="1:20" x14ac:dyDescent="0.25">
      <c r="A109" s="121">
        <v>80</v>
      </c>
      <c r="B109" s="67" t="s">
        <v>136</v>
      </c>
      <c r="C109" s="16">
        <v>0.82606060606060605</v>
      </c>
      <c r="D109" s="16">
        <v>0.77100053504547883</v>
      </c>
      <c r="E109" s="16">
        <v>0.85122282608695654</v>
      </c>
      <c r="F109" s="16">
        <v>0.79522431259044868</v>
      </c>
      <c r="G109" s="16">
        <v>0.75683890577507595</v>
      </c>
      <c r="H109" s="16">
        <v>0.80414887126296519</v>
      </c>
      <c r="I109" s="16">
        <v>0.80420918367346939</v>
      </c>
      <c r="J109" s="16">
        <v>0.80059523809523814</v>
      </c>
      <c r="K109" s="16">
        <v>0.7925598991172762</v>
      </c>
      <c r="L109" s="16">
        <v>0.83103257868580893</v>
      </c>
      <c r="M109" s="16">
        <v>0.82871678914641045</v>
      </c>
      <c r="N109" s="16">
        <v>0.81942336874051591</v>
      </c>
      <c r="O109" s="16">
        <v>0.83831728332488598</v>
      </c>
      <c r="P109" s="16">
        <v>0.88743059061080265</v>
      </c>
      <c r="Q109" s="62">
        <v>0.86921119592875318</v>
      </c>
      <c r="R109" s="62">
        <v>0.85062893081761004</v>
      </c>
      <c r="S109" s="62">
        <v>0.85159705159705157</v>
      </c>
      <c r="T109" s="62">
        <v>0.83276283618581903</v>
      </c>
    </row>
    <row r="110" spans="1:20" x14ac:dyDescent="0.25">
      <c r="A110" s="121">
        <v>81</v>
      </c>
      <c r="B110" s="67" t="s">
        <v>160</v>
      </c>
      <c r="C110" s="16">
        <v>0.60470202296336795</v>
      </c>
      <c r="D110" s="16">
        <v>0.7325467059980334</v>
      </c>
      <c r="E110" s="16">
        <v>0.59625146427176889</v>
      </c>
      <c r="F110" s="16">
        <v>0.62918060200668902</v>
      </c>
      <c r="G110" s="16">
        <v>0.53905645784996137</v>
      </c>
      <c r="H110" s="16">
        <v>0.64256880733944954</v>
      </c>
      <c r="I110" s="16">
        <v>0.5777049180327869</v>
      </c>
      <c r="J110" s="16">
        <v>0.63836681788723271</v>
      </c>
      <c r="K110" s="16">
        <v>0.60381211708645333</v>
      </c>
      <c r="L110" s="16">
        <v>0.70802175390890554</v>
      </c>
      <c r="M110" s="16">
        <v>0.72515635858234884</v>
      </c>
      <c r="N110" s="16">
        <v>0.73181648638567698</v>
      </c>
      <c r="O110" s="16">
        <v>0.71165413533834587</v>
      </c>
      <c r="P110" s="16">
        <v>0.72254857659286043</v>
      </c>
      <c r="Q110" s="62">
        <v>0.71452054794520548</v>
      </c>
      <c r="R110" s="62">
        <v>0.69501466275659829</v>
      </c>
      <c r="S110" s="62">
        <v>0.728515625</v>
      </c>
      <c r="T110" s="62">
        <v>0.74317968015051739</v>
      </c>
    </row>
    <row r="111" spans="1:20" x14ac:dyDescent="0.25">
      <c r="A111" s="121">
        <v>82</v>
      </c>
      <c r="B111" s="67" t="s">
        <v>127</v>
      </c>
      <c r="C111" s="16">
        <v>0.85690923957481602</v>
      </c>
      <c r="D111" s="16">
        <v>0.7740511915269197</v>
      </c>
      <c r="E111" s="41">
        <v>0.86629001883239176</v>
      </c>
      <c r="F111" s="16">
        <v>0.7884427032321254</v>
      </c>
      <c r="G111" s="16">
        <v>0.83911368015414256</v>
      </c>
      <c r="H111" s="16">
        <v>0.80380380380380378</v>
      </c>
      <c r="I111" s="16">
        <v>0.80499075785582253</v>
      </c>
      <c r="J111" s="16">
        <v>0.83524904214559392</v>
      </c>
      <c r="K111" s="16">
        <v>0.78898305084745768</v>
      </c>
      <c r="L111" s="16">
        <v>0.8230337078651685</v>
      </c>
      <c r="M111" s="16">
        <v>0.848294434470377</v>
      </c>
      <c r="N111" s="16">
        <v>0.83539094650205759</v>
      </c>
      <c r="O111" s="16">
        <v>0.77756471716203257</v>
      </c>
      <c r="P111" s="16">
        <v>0.8820224719101124</v>
      </c>
      <c r="Q111" s="62">
        <v>0.8693820224719101</v>
      </c>
      <c r="R111" s="62">
        <v>0.85542168674698793</v>
      </c>
      <c r="S111" s="62">
        <v>0.86951066499372642</v>
      </c>
      <c r="T111" s="62">
        <v>0.87944162436548223</v>
      </c>
    </row>
    <row r="112" spans="1:20" x14ac:dyDescent="0.25">
      <c r="A112" s="121">
        <v>83</v>
      </c>
      <c r="B112" s="67" t="s">
        <v>139</v>
      </c>
      <c r="C112" s="16">
        <v>0.81964175416924023</v>
      </c>
      <c r="D112" s="16">
        <v>0.84085648148148151</v>
      </c>
      <c r="E112" s="16">
        <v>0.82786885245901642</v>
      </c>
      <c r="F112" s="16">
        <v>0.80451513596716262</v>
      </c>
      <c r="G112" s="16">
        <v>0.7497354497354497</v>
      </c>
      <c r="H112" s="16">
        <v>0.78727386150966938</v>
      </c>
      <c r="I112" s="16">
        <v>0.73405535499398311</v>
      </c>
      <c r="J112" s="16">
        <v>0.7615384615384615</v>
      </c>
      <c r="K112" s="16">
        <v>0.72942289498580892</v>
      </c>
      <c r="L112" s="16">
        <v>0.76431718061674003</v>
      </c>
      <c r="M112" s="16">
        <v>0.80862533692722371</v>
      </c>
      <c r="N112" s="16">
        <v>0.75197472353870454</v>
      </c>
      <c r="O112" s="16">
        <v>0.79582210242587603</v>
      </c>
      <c r="P112" s="16">
        <v>0.8701504354711006</v>
      </c>
      <c r="Q112" s="62">
        <v>0.83093994778067881</v>
      </c>
      <c r="R112" s="62">
        <v>0.79736649597659104</v>
      </c>
      <c r="S112" s="62">
        <v>0.74787052810902899</v>
      </c>
      <c r="T112" s="62">
        <v>0.79151061173533088</v>
      </c>
    </row>
    <row r="113" spans="1:20" x14ac:dyDescent="0.25">
      <c r="A113" s="121">
        <v>84</v>
      </c>
      <c r="B113" s="67" t="s">
        <v>141</v>
      </c>
      <c r="C113" s="16">
        <v>0.82644628099173556</v>
      </c>
      <c r="D113" s="16">
        <v>0.71861777150916784</v>
      </c>
      <c r="E113" s="41">
        <v>0.74315514993481091</v>
      </c>
      <c r="F113" s="16">
        <v>0.71215207060420904</v>
      </c>
      <c r="G113" s="16">
        <v>0.70301507537688446</v>
      </c>
      <c r="H113" s="16">
        <v>0.71727227476356392</v>
      </c>
      <c r="I113" s="16">
        <v>0.71349274124679762</v>
      </c>
      <c r="J113" s="16">
        <v>0.71951710261569413</v>
      </c>
      <c r="K113" s="16">
        <v>0.75059495478343641</v>
      </c>
      <c r="L113" s="16">
        <v>0.79111295681063121</v>
      </c>
      <c r="M113" s="16">
        <v>0.77910894795956576</v>
      </c>
      <c r="N113" s="16">
        <v>0.79319571865443428</v>
      </c>
      <c r="O113" s="16">
        <v>0.81397238017871654</v>
      </c>
      <c r="P113" s="16">
        <v>0.85531370038412291</v>
      </c>
      <c r="Q113" s="62">
        <v>0.81321410829607554</v>
      </c>
      <c r="R113" s="62">
        <v>0.83201407211961298</v>
      </c>
      <c r="S113" s="62">
        <v>0.82699478001491422</v>
      </c>
      <c r="T113" s="62">
        <v>0.83447777376219734</v>
      </c>
    </row>
    <row r="114" spans="1:20" x14ac:dyDescent="0.25">
      <c r="A114" s="121">
        <v>85</v>
      </c>
      <c r="B114" s="67" t="s">
        <v>121</v>
      </c>
      <c r="C114" s="16">
        <v>0.55269683818970861</v>
      </c>
      <c r="D114" s="16">
        <v>0.71945259042033238</v>
      </c>
      <c r="E114" s="16">
        <v>0.74647887323943662</v>
      </c>
      <c r="F114" s="16">
        <v>0.73834679925419511</v>
      </c>
      <c r="G114" s="16">
        <v>0.75345494748479824</v>
      </c>
      <c r="H114" s="16">
        <v>0.70512029611351013</v>
      </c>
      <c r="I114" s="16">
        <v>0.7364085667215815</v>
      </c>
      <c r="J114" s="16">
        <v>0.79695697796432319</v>
      </c>
      <c r="K114" s="16">
        <v>0.80254476908576811</v>
      </c>
      <c r="L114" s="16">
        <v>0.75374732334047112</v>
      </c>
      <c r="M114" s="16">
        <v>0.80606922712185869</v>
      </c>
      <c r="N114" s="16">
        <v>0.74680194089104546</v>
      </c>
      <c r="O114" s="16">
        <v>0.82459016393442619</v>
      </c>
      <c r="P114" s="16">
        <v>0.84367245657568235</v>
      </c>
      <c r="Q114" s="62">
        <v>0.81714285714285717</v>
      </c>
      <c r="R114" s="62">
        <v>0.70787292817679559</v>
      </c>
      <c r="S114" s="62">
        <v>0.80180180180180183</v>
      </c>
      <c r="T114" s="62">
        <v>0.83519061583577714</v>
      </c>
    </row>
    <row r="115" spans="1:20" x14ac:dyDescent="0.25">
      <c r="A115" s="121">
        <v>86</v>
      </c>
      <c r="B115" s="67" t="s">
        <v>167</v>
      </c>
      <c r="C115" s="16">
        <v>0.91303177167474425</v>
      </c>
      <c r="D115" s="16">
        <v>0.90142706131078221</v>
      </c>
      <c r="E115" s="16">
        <v>0.89576392194193244</v>
      </c>
      <c r="F115" s="16">
        <v>0.88470643939393945</v>
      </c>
      <c r="G115" s="16">
        <v>0.89296046287367403</v>
      </c>
      <c r="H115" s="16">
        <v>0.85499593826157594</v>
      </c>
      <c r="I115" s="16">
        <v>0.86888078325974272</v>
      </c>
      <c r="J115" s="16">
        <v>0.89021342049605845</v>
      </c>
      <c r="K115" s="16">
        <v>0.88433826317785358</v>
      </c>
      <c r="L115" s="16">
        <v>0.85565503380230223</v>
      </c>
      <c r="M115" s="16">
        <v>0.88257575757575757</v>
      </c>
      <c r="N115" s="16">
        <v>0.8762393767705382</v>
      </c>
      <c r="O115" s="16">
        <v>0.8784452296819788</v>
      </c>
      <c r="P115" s="16">
        <v>0.91332179930795843</v>
      </c>
      <c r="Q115" s="62">
        <v>0.89239427012278305</v>
      </c>
      <c r="R115" s="62">
        <v>0.89028107009820523</v>
      </c>
      <c r="S115" s="62">
        <v>0.90387329465265798</v>
      </c>
      <c r="T115" s="62">
        <v>0.9011680143755616</v>
      </c>
    </row>
    <row r="116" spans="1:20" x14ac:dyDescent="0.25">
      <c r="A116" s="121">
        <v>87</v>
      </c>
      <c r="B116" s="67" t="s">
        <v>146</v>
      </c>
      <c r="C116" s="16">
        <v>0.81627955639255079</v>
      </c>
      <c r="D116" s="16">
        <v>0.80321469575200921</v>
      </c>
      <c r="E116" s="16">
        <v>0.79661404712880346</v>
      </c>
      <c r="F116" s="16">
        <v>0.82503556187766713</v>
      </c>
      <c r="G116" s="16">
        <v>0.77704783412030387</v>
      </c>
      <c r="H116" s="16">
        <v>0.79459348761007575</v>
      </c>
      <c r="I116" s="16">
        <v>0.80601357904946658</v>
      </c>
      <c r="J116" s="16">
        <v>0.79011345218800644</v>
      </c>
      <c r="K116" s="16">
        <v>0.78750246402523161</v>
      </c>
      <c r="L116" s="16">
        <v>0.80053856510867472</v>
      </c>
      <c r="M116" s="16">
        <v>0.80878243512974057</v>
      </c>
      <c r="N116" s="16">
        <v>0.78901842798044375</v>
      </c>
      <c r="O116" s="16">
        <v>0.84710743801652888</v>
      </c>
      <c r="P116" s="16">
        <v>0.89852558542931482</v>
      </c>
      <c r="Q116" s="62">
        <v>0.90349899710274129</v>
      </c>
      <c r="R116" s="62">
        <v>0.84584269662921352</v>
      </c>
      <c r="S116" s="62">
        <v>0.84898750538560963</v>
      </c>
      <c r="T116" s="62">
        <v>0.8608096828046744</v>
      </c>
    </row>
    <row r="117" spans="1:20" x14ac:dyDescent="0.25">
      <c r="A117" s="121">
        <v>88</v>
      </c>
      <c r="B117" s="67" t="s">
        <v>122</v>
      </c>
      <c r="C117" s="16">
        <v>0.84131838260278624</v>
      </c>
      <c r="D117" s="16">
        <v>0.78931451612903225</v>
      </c>
      <c r="E117" s="16">
        <v>0.84960254372019073</v>
      </c>
      <c r="F117" s="16">
        <v>0.83337645536869343</v>
      </c>
      <c r="G117" s="16">
        <v>0.71972711768050024</v>
      </c>
      <c r="H117" s="16">
        <v>0.81552587646076791</v>
      </c>
      <c r="I117" s="16">
        <v>0.78073827366083814</v>
      </c>
      <c r="J117" s="16">
        <v>0.80226662690128248</v>
      </c>
      <c r="K117" s="16">
        <v>0.7968936678614098</v>
      </c>
      <c r="L117" s="16">
        <v>0.79690189328743544</v>
      </c>
      <c r="M117" s="16">
        <v>0.78435167265689798</v>
      </c>
      <c r="N117" s="16">
        <v>0.78200419727177339</v>
      </c>
      <c r="O117" s="16">
        <v>0.78742436200999733</v>
      </c>
      <c r="P117" s="16">
        <v>0.86059806508355319</v>
      </c>
      <c r="Q117" s="62">
        <v>0.81472309770373708</v>
      </c>
      <c r="R117" s="62">
        <v>0.76039559451562144</v>
      </c>
      <c r="S117" s="62">
        <v>0.76630434782608692</v>
      </c>
      <c r="T117" s="62">
        <v>0.805926261026917</v>
      </c>
    </row>
    <row r="118" spans="1:20" x14ac:dyDescent="0.25">
      <c r="A118" s="121">
        <v>89</v>
      </c>
      <c r="B118" s="67" t="s">
        <v>166</v>
      </c>
      <c r="C118" s="16">
        <v>0.78167778167778168</v>
      </c>
      <c r="D118" s="16">
        <v>0.78235496052179887</v>
      </c>
      <c r="E118" s="16">
        <v>0.78010825439783493</v>
      </c>
      <c r="F118" s="16">
        <v>0.77777777777777779</v>
      </c>
      <c r="G118" s="16">
        <v>0.7481946624803768</v>
      </c>
      <c r="H118" s="16">
        <v>0.75657894736842102</v>
      </c>
      <c r="I118" s="16">
        <v>0.75231053604436227</v>
      </c>
      <c r="J118" s="16">
        <v>0.79390018484288349</v>
      </c>
      <c r="K118" s="16">
        <v>0.79572803850782192</v>
      </c>
      <c r="L118" s="16">
        <v>0.80237612286293825</v>
      </c>
      <c r="M118" s="16">
        <v>0.81704479348458403</v>
      </c>
      <c r="N118" s="16">
        <v>0.8094975151849807</v>
      </c>
      <c r="O118" s="16">
        <v>0.80277475516866159</v>
      </c>
      <c r="P118" s="16">
        <v>0.8809662398137369</v>
      </c>
      <c r="Q118" s="62">
        <v>0.8426745329400197</v>
      </c>
      <c r="R118" s="62">
        <v>0.80141190914671578</v>
      </c>
      <c r="S118" s="62">
        <v>0.83508158508158503</v>
      </c>
      <c r="T118" s="62">
        <v>0.84271133211201255</v>
      </c>
    </row>
    <row r="119" spans="1:20" x14ac:dyDescent="0.25">
      <c r="A119" s="121">
        <v>90</v>
      </c>
      <c r="B119" s="67" t="s">
        <v>159</v>
      </c>
      <c r="C119" s="16">
        <v>0.81818181818181823</v>
      </c>
      <c r="D119" s="16">
        <v>0.81643356643356646</v>
      </c>
      <c r="E119" s="16">
        <v>0.81941309255079009</v>
      </c>
      <c r="F119" s="16">
        <v>0.82158502588610116</v>
      </c>
      <c r="G119" s="16">
        <v>0.80226209048361929</v>
      </c>
      <c r="H119" s="16">
        <v>0.82461786001609005</v>
      </c>
      <c r="I119" s="16">
        <v>0.81333333333333335</v>
      </c>
      <c r="J119" s="16">
        <v>0.81815181518151814</v>
      </c>
      <c r="K119" s="16">
        <v>0.80853080568720381</v>
      </c>
      <c r="L119" s="16">
        <v>0.82366215344938754</v>
      </c>
      <c r="M119" s="16">
        <v>0.84787401574803145</v>
      </c>
      <c r="N119" s="16">
        <v>0.83530482256596905</v>
      </c>
      <c r="O119" s="16">
        <v>0.88251670378619151</v>
      </c>
      <c r="P119" s="16">
        <v>0.85710404781309424</v>
      </c>
      <c r="Q119" s="62">
        <v>0.85510688836104509</v>
      </c>
      <c r="R119" s="62">
        <v>0.82496863237139273</v>
      </c>
      <c r="S119" s="62">
        <v>0.83105294467578827</v>
      </c>
      <c r="T119" s="62">
        <v>0.84203258768296052</v>
      </c>
    </row>
    <row r="120" spans="1:20" x14ac:dyDescent="0.25">
      <c r="A120" s="121">
        <v>91</v>
      </c>
      <c r="B120" s="67" t="s">
        <v>153</v>
      </c>
      <c r="C120" s="16">
        <v>0.77901672579827674</v>
      </c>
      <c r="D120" s="16">
        <v>0.78211716341212745</v>
      </c>
      <c r="E120" s="41">
        <v>0.73950870010235414</v>
      </c>
      <c r="F120" s="16">
        <v>0.80821278581427902</v>
      </c>
      <c r="G120" s="16">
        <v>0.73821464393179537</v>
      </c>
      <c r="H120" s="16">
        <v>0.78217299578059074</v>
      </c>
      <c r="I120" s="16">
        <v>0.82404997397188962</v>
      </c>
      <c r="J120" s="16">
        <v>0.79700748129675814</v>
      </c>
      <c r="K120" s="16">
        <v>0.80925737538148523</v>
      </c>
      <c r="L120" s="16">
        <v>0.81213872832369938</v>
      </c>
      <c r="M120" s="16">
        <v>0.80906148867313921</v>
      </c>
      <c r="N120" s="16">
        <v>0.8276810265811182</v>
      </c>
      <c r="O120" s="16">
        <v>0.82782057091073857</v>
      </c>
      <c r="P120" s="16">
        <v>0.85923039454456895</v>
      </c>
      <c r="Q120" s="62">
        <v>0.87752928647497341</v>
      </c>
      <c r="R120" s="62">
        <v>0.84335596508244426</v>
      </c>
      <c r="S120" s="62">
        <v>0.85520361990950222</v>
      </c>
      <c r="T120" s="62">
        <v>0.85663082437275984</v>
      </c>
    </row>
    <row r="121" spans="1:20" x14ac:dyDescent="0.25">
      <c r="A121" s="121">
        <v>92</v>
      </c>
      <c r="B121" s="67" t="s">
        <v>154</v>
      </c>
      <c r="C121" s="16">
        <v>0.92732049036777586</v>
      </c>
      <c r="D121" s="16">
        <v>0.91148115687992992</v>
      </c>
      <c r="E121" s="16">
        <v>0.91738712776176756</v>
      </c>
      <c r="F121" s="16">
        <v>0.91064981949458479</v>
      </c>
      <c r="G121" s="16">
        <v>0.82755966127790603</v>
      </c>
      <c r="H121" s="16">
        <v>0.90519877675840976</v>
      </c>
      <c r="I121" s="16">
        <v>0.86107290233837686</v>
      </c>
      <c r="J121" s="16">
        <v>0.85092250922509227</v>
      </c>
      <c r="K121" s="16">
        <v>0.8776520509193777</v>
      </c>
      <c r="L121" s="16">
        <v>0.87089201877934275</v>
      </c>
      <c r="M121" s="16">
        <v>0.84989316239316237</v>
      </c>
      <c r="N121" s="16">
        <v>0.84198113207547165</v>
      </c>
      <c r="O121" s="16">
        <v>0.86866554054054057</v>
      </c>
      <c r="P121" s="16">
        <v>0.88577405857740588</v>
      </c>
      <c r="Q121" s="62">
        <v>0.899070385126162</v>
      </c>
      <c r="R121" s="62">
        <v>0.87799834574028124</v>
      </c>
      <c r="S121" s="62">
        <v>0.88392516227567774</v>
      </c>
      <c r="T121" s="62">
        <v>0.87092344661860621</v>
      </c>
    </row>
    <row r="122" spans="1:20" x14ac:dyDescent="0.25">
      <c r="A122" s="121">
        <v>93</v>
      </c>
      <c r="B122" s="67" t="s">
        <v>156</v>
      </c>
      <c r="C122" s="16">
        <v>0.89554224883566202</v>
      </c>
      <c r="D122" s="16">
        <v>0.79220779220779225</v>
      </c>
      <c r="E122" s="41">
        <v>0.82857142857142863</v>
      </c>
      <c r="F122" s="16">
        <v>0.890210067380103</v>
      </c>
      <c r="G122" s="16">
        <v>0.77624852536374356</v>
      </c>
      <c r="H122" s="16">
        <v>0.78796264268419236</v>
      </c>
      <c r="I122" s="16">
        <v>0.78940835746793547</v>
      </c>
      <c r="J122" s="16">
        <v>0.81180167597765363</v>
      </c>
      <c r="K122" s="16">
        <v>0.79646902065289804</v>
      </c>
      <c r="L122" s="16">
        <v>0.84712396185788985</v>
      </c>
      <c r="M122" s="16">
        <v>0.85600976205003054</v>
      </c>
      <c r="N122" s="16">
        <v>0.81133113311331129</v>
      </c>
      <c r="O122" s="16">
        <v>0.80846616148419126</v>
      </c>
      <c r="P122" s="16">
        <v>0.8115362649914335</v>
      </c>
      <c r="Q122" s="62">
        <v>0.78547745358090182</v>
      </c>
      <c r="R122" s="62">
        <v>0.79284833538840938</v>
      </c>
      <c r="S122" s="62">
        <v>0.8143991240076649</v>
      </c>
      <c r="T122" s="62">
        <v>0.78687715836211147</v>
      </c>
    </row>
    <row r="123" spans="1:20" x14ac:dyDescent="0.25">
      <c r="A123" s="121">
        <v>94</v>
      </c>
      <c r="B123" s="67" t="s">
        <v>155</v>
      </c>
      <c r="C123" s="16">
        <v>0.84236054971705743</v>
      </c>
      <c r="D123" s="16">
        <v>0.83556810162314754</v>
      </c>
      <c r="E123" s="16">
        <v>0.81850746268656716</v>
      </c>
      <c r="F123" s="16">
        <v>0.82332955832389576</v>
      </c>
      <c r="G123" s="16">
        <v>0.75594874923733979</v>
      </c>
      <c r="H123" s="16">
        <v>0.79205607476635509</v>
      </c>
      <c r="I123" s="16">
        <v>0.8151140684410646</v>
      </c>
      <c r="J123" s="16">
        <v>0.83422200678623359</v>
      </c>
      <c r="K123" s="16">
        <v>0.80861040068201195</v>
      </c>
      <c r="L123" s="16">
        <v>0.7914995990376904</v>
      </c>
      <c r="M123" s="16">
        <v>0.84591747146619845</v>
      </c>
      <c r="N123" s="16">
        <v>0.81735537190082641</v>
      </c>
      <c r="O123" s="16">
        <v>0.83683984542722201</v>
      </c>
      <c r="P123" s="16">
        <v>0.81851681252878861</v>
      </c>
      <c r="Q123" s="62">
        <v>0.82963988919667586</v>
      </c>
      <c r="R123" s="62">
        <v>0.83744557329462987</v>
      </c>
      <c r="S123" s="62">
        <v>0.80871050384286935</v>
      </c>
      <c r="T123" s="62">
        <v>0.83182503770739069</v>
      </c>
    </row>
    <row r="124" spans="1:20" x14ac:dyDescent="0.25">
      <c r="A124" s="121">
        <v>895</v>
      </c>
      <c r="B124" s="67" t="s">
        <v>213</v>
      </c>
      <c r="C124" s="16" t="s">
        <v>62</v>
      </c>
      <c r="D124" s="16" t="s">
        <v>62</v>
      </c>
      <c r="E124" s="16" t="s">
        <v>62</v>
      </c>
      <c r="F124" s="16" t="s">
        <v>62</v>
      </c>
      <c r="G124" s="16" t="s">
        <v>62</v>
      </c>
      <c r="H124" s="16" t="s">
        <v>62</v>
      </c>
      <c r="I124" s="16" t="s">
        <v>62</v>
      </c>
      <c r="J124" s="16" t="s">
        <v>62</v>
      </c>
      <c r="K124" s="16" t="s">
        <v>62</v>
      </c>
      <c r="L124" s="16" t="s">
        <v>62</v>
      </c>
      <c r="M124" s="16">
        <v>0.91264367816091951</v>
      </c>
      <c r="N124" s="16">
        <v>0.86393088552915764</v>
      </c>
      <c r="O124" s="16">
        <v>0.89400921658986177</v>
      </c>
      <c r="P124" s="16">
        <v>0.88733552631578949</v>
      </c>
      <c r="Q124" s="62">
        <v>0.87819253438113953</v>
      </c>
      <c r="R124" s="62">
        <v>0.84803558191252781</v>
      </c>
      <c r="S124" s="62">
        <v>0.86821705426356588</v>
      </c>
      <c r="T124" s="62">
        <v>0.88368129527055816</v>
      </c>
    </row>
    <row r="125" spans="1:20" x14ac:dyDescent="0.25">
      <c r="A125" s="121">
        <v>896</v>
      </c>
      <c r="B125" s="67" t="s">
        <v>214</v>
      </c>
      <c r="C125" s="16" t="s">
        <v>62</v>
      </c>
      <c r="D125" s="16" t="s">
        <v>62</v>
      </c>
      <c r="E125" s="41" t="s">
        <v>62</v>
      </c>
      <c r="F125" s="16" t="s">
        <v>62</v>
      </c>
      <c r="G125" s="16" t="s">
        <v>62</v>
      </c>
      <c r="H125" s="16" t="s">
        <v>62</v>
      </c>
      <c r="I125" s="16" t="s">
        <v>62</v>
      </c>
      <c r="J125" s="16" t="s">
        <v>62</v>
      </c>
      <c r="K125" s="16" t="s">
        <v>62</v>
      </c>
      <c r="L125" s="16" t="s">
        <v>62</v>
      </c>
      <c r="M125" s="16">
        <v>0.86021505376344087</v>
      </c>
      <c r="N125" s="16">
        <v>0.78151260504201681</v>
      </c>
      <c r="O125" s="16">
        <v>0.78861788617886175</v>
      </c>
      <c r="P125" s="16">
        <v>0.9375</v>
      </c>
      <c r="Q125" s="62">
        <v>0.76331360946745563</v>
      </c>
      <c r="R125" s="62">
        <v>0.76223776223776218</v>
      </c>
      <c r="S125" s="62">
        <v>0.76608187134502925</v>
      </c>
      <c r="T125" s="62">
        <v>0.76666666666666672</v>
      </c>
    </row>
    <row r="126" spans="1:20" x14ac:dyDescent="0.25">
      <c r="A126" s="149" t="s">
        <v>402</v>
      </c>
      <c r="B126" s="104"/>
      <c r="C126" s="104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P126" s="141"/>
      <c r="Q126" s="141"/>
    </row>
    <row r="127" spans="1:20" x14ac:dyDescent="0.25">
      <c r="A127" s="72"/>
      <c r="B127" s="105"/>
      <c r="C127" s="105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</row>
    <row r="128" spans="1:20" ht="18" x14ac:dyDescent="0.25">
      <c r="A128" s="25" t="s">
        <v>463</v>
      </c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</row>
    <row r="129" spans="1:20" ht="30" customHeight="1" x14ac:dyDescent="0.25">
      <c r="A129" s="39" t="s">
        <v>339</v>
      </c>
      <c r="B129" s="39" t="s">
        <v>409</v>
      </c>
      <c r="C129" s="38">
        <v>2007</v>
      </c>
      <c r="D129" s="38">
        <v>2008</v>
      </c>
      <c r="E129" s="38">
        <v>2009</v>
      </c>
      <c r="F129" s="38">
        <v>2010</v>
      </c>
      <c r="G129" s="38">
        <v>2011</v>
      </c>
      <c r="H129" s="38">
        <v>2012</v>
      </c>
      <c r="I129" s="38">
        <v>2013</v>
      </c>
      <c r="J129" s="38">
        <v>2014</v>
      </c>
      <c r="K129" s="38">
        <v>2015</v>
      </c>
      <c r="L129" s="38">
        <v>2016</v>
      </c>
      <c r="M129" s="38">
        <v>2017</v>
      </c>
      <c r="N129" s="38">
        <v>2018</v>
      </c>
      <c r="O129" s="38">
        <v>2019</v>
      </c>
      <c r="P129" s="38">
        <v>2020</v>
      </c>
      <c r="Q129" s="38">
        <v>2021</v>
      </c>
      <c r="R129" s="38">
        <v>2022</v>
      </c>
      <c r="S129" s="38">
        <v>2023</v>
      </c>
      <c r="T129" s="38">
        <v>2024</v>
      </c>
    </row>
    <row r="130" spans="1:20" x14ac:dyDescent="0.25">
      <c r="A130" s="121">
        <v>99</v>
      </c>
      <c r="B130" s="71" t="s">
        <v>183</v>
      </c>
      <c r="C130" s="16" t="s">
        <v>62</v>
      </c>
      <c r="D130" s="16">
        <v>0.76923076923076927</v>
      </c>
      <c r="E130" s="16">
        <v>0.74193548387096775</v>
      </c>
      <c r="F130" s="16">
        <v>0.80487804878048785</v>
      </c>
      <c r="G130" s="16">
        <v>0.82051282051282048</v>
      </c>
      <c r="H130" s="16">
        <v>0.80555555555555558</v>
      </c>
      <c r="I130" s="16">
        <v>0.7</v>
      </c>
      <c r="J130" s="16">
        <v>0.68421052631578949</v>
      </c>
      <c r="K130" s="16">
        <v>0.75</v>
      </c>
      <c r="L130" s="16">
        <v>0.81632653061224492</v>
      </c>
      <c r="M130" s="16">
        <v>0.75</v>
      </c>
      <c r="N130" s="16">
        <v>0.77551020408163263</v>
      </c>
      <c r="O130" s="16">
        <v>0.8936170212765957</v>
      </c>
      <c r="P130" s="16">
        <v>0.62745098039215685</v>
      </c>
      <c r="Q130" s="62">
        <v>0.7142857142857143</v>
      </c>
      <c r="R130" s="62">
        <v>0.72307692307692306</v>
      </c>
      <c r="S130" s="62">
        <v>0.828125</v>
      </c>
      <c r="T130" s="62">
        <v>0.83606557377049184</v>
      </c>
    </row>
    <row r="131" spans="1:20" x14ac:dyDescent="0.25">
      <c r="A131" s="121">
        <v>106</v>
      </c>
      <c r="B131" s="71" t="s">
        <v>169</v>
      </c>
      <c r="C131" s="16">
        <v>0.61420345489443373</v>
      </c>
      <c r="D131" s="16">
        <v>0.69481765834932818</v>
      </c>
      <c r="E131" s="16">
        <v>0.69829222011385195</v>
      </c>
      <c r="F131" s="16">
        <v>0.72727272727272729</v>
      </c>
      <c r="G131" s="16">
        <v>0.62962962962962965</v>
      </c>
      <c r="H131" s="16">
        <v>0.5476923076923077</v>
      </c>
      <c r="I131" s="16">
        <v>0.44484958979033729</v>
      </c>
      <c r="J131" s="16">
        <v>0.3570520965692503</v>
      </c>
      <c r="K131" s="16">
        <v>0.42261904761904762</v>
      </c>
      <c r="L131" s="16">
        <v>0.41514360313315929</v>
      </c>
      <c r="M131" s="16">
        <v>0.38680465717981888</v>
      </c>
      <c r="N131" s="16">
        <v>0.47639484978540775</v>
      </c>
      <c r="O131" s="16">
        <v>0.52050473186119872</v>
      </c>
      <c r="P131" s="16">
        <v>0.48724082934609253</v>
      </c>
      <c r="Q131" s="62">
        <v>0.5805658056580566</v>
      </c>
      <c r="R131" s="62">
        <v>0.57243319268635728</v>
      </c>
      <c r="S131" s="62">
        <v>0.59859309738404043</v>
      </c>
      <c r="T131" s="62">
        <v>0.61077611359657658</v>
      </c>
    </row>
    <row r="132" spans="1:20" x14ac:dyDescent="0.25">
      <c r="A132" s="121">
        <v>108</v>
      </c>
      <c r="B132" s="71" t="s">
        <v>232</v>
      </c>
      <c r="C132" s="16" t="s">
        <v>62</v>
      </c>
      <c r="D132" s="16" t="s">
        <v>62</v>
      </c>
      <c r="E132" s="16">
        <v>0.53846153846153844</v>
      </c>
      <c r="F132" s="16">
        <v>0.2734375</v>
      </c>
      <c r="G132" s="16">
        <v>0.4631578947368421</v>
      </c>
      <c r="H132" s="16">
        <v>0.52380952380952384</v>
      </c>
      <c r="I132" s="16">
        <v>0.90816326530612246</v>
      </c>
      <c r="J132" s="16">
        <v>0.3983739837398374</v>
      </c>
      <c r="K132" s="16">
        <v>0.53409090909090906</v>
      </c>
      <c r="L132" s="16">
        <v>0.44230769230769229</v>
      </c>
      <c r="M132" s="16">
        <v>0.5</v>
      </c>
      <c r="N132" s="16">
        <v>0.44385026737967914</v>
      </c>
      <c r="O132" s="16">
        <v>0.48898678414096919</v>
      </c>
      <c r="P132" s="16">
        <v>0.71153846153846156</v>
      </c>
      <c r="Q132" s="62">
        <v>0.51694915254237284</v>
      </c>
      <c r="R132" s="62">
        <v>0.4</v>
      </c>
      <c r="S132" s="62">
        <v>0.24752475247524752</v>
      </c>
      <c r="T132" s="62">
        <v>0.23809523809523808</v>
      </c>
    </row>
    <row r="133" spans="1:20" x14ac:dyDescent="0.25">
      <c r="A133" s="121">
        <v>111</v>
      </c>
      <c r="B133" s="71" t="s">
        <v>177</v>
      </c>
      <c r="C133" s="16">
        <v>0.68001623596265726</v>
      </c>
      <c r="D133" s="16">
        <v>0.7013058419243986</v>
      </c>
      <c r="E133" s="16">
        <v>0.73491795366795365</v>
      </c>
      <c r="F133" s="16">
        <v>0.73856487898496637</v>
      </c>
      <c r="G133" s="16">
        <v>0.71421907072214963</v>
      </c>
      <c r="H133" s="16">
        <v>0.71227080394922426</v>
      </c>
      <c r="I133" s="16">
        <v>0.7196650336105731</v>
      </c>
      <c r="J133" s="16">
        <v>0.73221254878414888</v>
      </c>
      <c r="K133" s="16">
        <v>0.72679030874785588</v>
      </c>
      <c r="L133" s="16">
        <v>0.73307168526574618</v>
      </c>
      <c r="M133" s="16">
        <v>0.78467295169598605</v>
      </c>
      <c r="N133" s="16">
        <v>0.79765905017921146</v>
      </c>
      <c r="O133" s="16">
        <v>0.74321817760259679</v>
      </c>
      <c r="P133" s="16">
        <v>0.70093927009392698</v>
      </c>
      <c r="Q133" s="62">
        <v>0.71964746998936335</v>
      </c>
      <c r="R133" s="62">
        <v>0.7647465437788018</v>
      </c>
      <c r="S133" s="62">
        <v>0.76837466387809983</v>
      </c>
      <c r="T133" s="62">
        <v>0.76028456541911538</v>
      </c>
    </row>
    <row r="134" spans="1:20" x14ac:dyDescent="0.25">
      <c r="A134" s="121">
        <v>113</v>
      </c>
      <c r="B134" s="71" t="s">
        <v>184</v>
      </c>
      <c r="C134" s="16" t="s">
        <v>62</v>
      </c>
      <c r="D134" s="16">
        <v>0.27559055118110237</v>
      </c>
      <c r="E134" s="16">
        <v>0.43310657596371882</v>
      </c>
      <c r="F134" s="16">
        <v>0.56521739130434778</v>
      </c>
      <c r="G134" s="16">
        <v>0.54671814671814667</v>
      </c>
      <c r="H134" s="16">
        <v>0.50264221324215108</v>
      </c>
      <c r="I134" s="16">
        <v>0.61116279069767443</v>
      </c>
      <c r="J134" s="16">
        <v>0.62088353413654618</v>
      </c>
      <c r="K134" s="16">
        <v>0.63421342134213421</v>
      </c>
      <c r="L134" s="16">
        <v>0.6561367167270844</v>
      </c>
      <c r="M134" s="16">
        <v>0.64629258517034072</v>
      </c>
      <c r="N134" s="16">
        <v>0.67928541046363244</v>
      </c>
      <c r="O134" s="16">
        <v>0.65100384451089277</v>
      </c>
      <c r="P134" s="16">
        <v>0.55795895729339984</v>
      </c>
      <c r="Q134" s="62">
        <v>0.61477987421383651</v>
      </c>
      <c r="R134" s="62">
        <v>0.55987394957983194</v>
      </c>
      <c r="S134" s="62">
        <v>0.52027027027027029</v>
      </c>
      <c r="T134" s="62">
        <v>0.60854092526690395</v>
      </c>
    </row>
    <row r="135" spans="1:20" x14ac:dyDescent="0.25">
      <c r="A135" s="121">
        <v>116</v>
      </c>
      <c r="B135" s="71" t="s">
        <v>168</v>
      </c>
      <c r="C135" s="16">
        <v>0.44583147570218457</v>
      </c>
      <c r="D135" s="16">
        <v>0.73774509803921573</v>
      </c>
      <c r="E135" s="16">
        <v>0.81474358974358974</v>
      </c>
      <c r="F135" s="16">
        <v>0.68187579214195182</v>
      </c>
      <c r="G135" s="16">
        <v>0.69064748201438853</v>
      </c>
      <c r="H135" s="16">
        <v>0.64145954521417237</v>
      </c>
      <c r="I135" s="16">
        <v>0.59834997828918801</v>
      </c>
      <c r="J135" s="16">
        <v>0.6230864708316094</v>
      </c>
      <c r="K135" s="16">
        <v>0.63366013071895422</v>
      </c>
      <c r="L135" s="16">
        <v>0.59870024370430541</v>
      </c>
      <c r="M135" s="16">
        <v>0.65407470288624792</v>
      </c>
      <c r="N135" s="16">
        <v>0.66115702479338845</v>
      </c>
      <c r="O135" s="16">
        <v>0.64352640545144801</v>
      </c>
      <c r="P135" s="16">
        <v>0.65140478668054114</v>
      </c>
      <c r="Q135" s="62">
        <v>0.68210323203087309</v>
      </c>
      <c r="R135" s="62">
        <v>0.72131147540983609</v>
      </c>
      <c r="S135" s="62">
        <v>0.73892773892773889</v>
      </c>
      <c r="T135" s="62">
        <v>0.70847932725998597</v>
      </c>
    </row>
    <row r="136" spans="1:20" x14ac:dyDescent="0.25">
      <c r="A136" s="121">
        <v>117</v>
      </c>
      <c r="B136" s="71" t="s">
        <v>344</v>
      </c>
      <c r="C136" s="16" t="s">
        <v>62</v>
      </c>
      <c r="D136" s="16">
        <v>0.79296875</v>
      </c>
      <c r="E136" s="16">
        <v>0.46666666666666667</v>
      </c>
      <c r="F136" s="16">
        <v>0.31934731934731936</v>
      </c>
      <c r="G136" s="16">
        <v>0.55945945945945941</v>
      </c>
      <c r="H136" s="16">
        <v>0.39784946236559138</v>
      </c>
      <c r="I136" s="16">
        <v>0.43597262952101662</v>
      </c>
      <c r="J136" s="16">
        <v>0.40053333333333335</v>
      </c>
      <c r="K136" s="16">
        <v>0.43287671232876712</v>
      </c>
      <c r="L136" s="16">
        <v>0.50431034482758619</v>
      </c>
      <c r="M136" s="16">
        <v>0.51970842332613387</v>
      </c>
      <c r="N136" s="16">
        <v>0.50555555555555554</v>
      </c>
      <c r="O136" s="16">
        <v>0.51240181893344361</v>
      </c>
      <c r="P136" s="16">
        <v>0.63148558758314854</v>
      </c>
      <c r="Q136" s="62">
        <v>0.64549972390944232</v>
      </c>
      <c r="R136" s="62">
        <v>0.61863799283154119</v>
      </c>
      <c r="S136" s="62">
        <v>0.57536466774716366</v>
      </c>
      <c r="T136" s="62">
        <v>0.57346252719003366</v>
      </c>
    </row>
    <row r="137" spans="1:20" x14ac:dyDescent="0.25">
      <c r="A137" s="121">
        <v>120</v>
      </c>
      <c r="B137" s="71" t="s">
        <v>179</v>
      </c>
      <c r="C137" s="16">
        <v>0.2147117296222664</v>
      </c>
      <c r="D137" s="16">
        <v>0.51186017478152313</v>
      </c>
      <c r="E137" s="16">
        <v>0.4845360824742268</v>
      </c>
      <c r="F137" s="16">
        <v>0.43735763097949887</v>
      </c>
      <c r="G137" s="16">
        <v>0.48848684210526316</v>
      </c>
      <c r="H137" s="16">
        <v>0.51655629139072845</v>
      </c>
      <c r="I137" s="16">
        <v>0.4504201680672269</v>
      </c>
      <c r="J137" s="16">
        <v>0.44158878504672899</v>
      </c>
      <c r="K137" s="16">
        <v>0.37605633802816901</v>
      </c>
      <c r="L137" s="16">
        <v>0.55144032921810704</v>
      </c>
      <c r="M137" s="16">
        <v>0.49307479224376732</v>
      </c>
      <c r="N137" s="16">
        <v>0.57264957264957261</v>
      </c>
      <c r="O137" s="16">
        <v>0.48928571428571427</v>
      </c>
      <c r="P137" s="16">
        <v>0.45922746781115881</v>
      </c>
      <c r="Q137" s="62">
        <v>0.58767772511848337</v>
      </c>
      <c r="R137" s="62">
        <v>0.52027027027027029</v>
      </c>
      <c r="S137" s="62">
        <v>0.3923444976076555</v>
      </c>
      <c r="T137" s="62">
        <v>0.54838709677419351</v>
      </c>
    </row>
    <row r="138" spans="1:20" x14ac:dyDescent="0.25">
      <c r="A138" s="121">
        <v>123</v>
      </c>
      <c r="B138" s="71" t="s">
        <v>181</v>
      </c>
      <c r="C138" s="16">
        <v>0.41154791154791154</v>
      </c>
      <c r="D138" s="16">
        <v>0.50192137156370087</v>
      </c>
      <c r="E138" s="16">
        <v>0.53144458281444584</v>
      </c>
      <c r="F138" s="16">
        <v>0.5715785054575987</v>
      </c>
      <c r="G138" s="16">
        <v>0.5488756310234052</v>
      </c>
      <c r="H138" s="16">
        <v>0.53996622572473962</v>
      </c>
      <c r="I138" s="16">
        <v>0.56563758389261742</v>
      </c>
      <c r="J138" s="16">
        <v>0.56993063397322152</v>
      </c>
      <c r="K138" s="16">
        <v>0.59518911220129767</v>
      </c>
      <c r="L138" s="16">
        <v>0.61705989110707804</v>
      </c>
      <c r="M138" s="16">
        <v>0.7233582709891937</v>
      </c>
      <c r="N138" s="16">
        <v>0.71467391304347827</v>
      </c>
      <c r="O138" s="16">
        <v>0.70244461420932014</v>
      </c>
      <c r="P138" s="16">
        <v>0.600297176820208</v>
      </c>
      <c r="Q138" s="62">
        <v>0.60683760683760679</v>
      </c>
      <c r="R138" s="62">
        <v>0.69964973730297719</v>
      </c>
      <c r="S138" s="62">
        <v>0.72240051347881895</v>
      </c>
      <c r="T138" s="62">
        <v>0.74929311969839774</v>
      </c>
    </row>
    <row r="139" spans="1:20" x14ac:dyDescent="0.25">
      <c r="A139" s="121">
        <v>137</v>
      </c>
      <c r="B139" s="71" t="s">
        <v>345</v>
      </c>
      <c r="C139" s="16">
        <v>0.54729729729729726</v>
      </c>
      <c r="D139" s="16">
        <v>0.51923076923076927</v>
      </c>
      <c r="E139" s="16">
        <v>0.55704697986577179</v>
      </c>
      <c r="F139" s="16">
        <v>0.53801169590643272</v>
      </c>
      <c r="G139" s="16">
        <v>0.45595854922279794</v>
      </c>
      <c r="H139" s="16">
        <v>0.52173913043478259</v>
      </c>
      <c r="I139" s="16">
        <v>0.47340425531914893</v>
      </c>
      <c r="J139" s="16">
        <v>0.59685863874345546</v>
      </c>
      <c r="K139" s="16">
        <v>0.56000000000000005</v>
      </c>
      <c r="L139" s="16">
        <v>0.54658385093167705</v>
      </c>
      <c r="M139" s="16">
        <v>0.54193548387096779</v>
      </c>
      <c r="N139" s="16">
        <v>0.51282051282051277</v>
      </c>
      <c r="O139" s="16">
        <v>0.47517730496453903</v>
      </c>
      <c r="P139" s="16">
        <v>0.52666666666666662</v>
      </c>
      <c r="Q139" s="62">
        <v>0.55862068965517242</v>
      </c>
      <c r="R139" s="62">
        <v>0.57723577235772361</v>
      </c>
      <c r="S139" s="62">
        <v>0.640625</v>
      </c>
      <c r="T139" s="62">
        <v>0.50276243093922657</v>
      </c>
    </row>
    <row r="140" spans="1:20" x14ac:dyDescent="0.25">
      <c r="A140" s="121">
        <v>139</v>
      </c>
      <c r="B140" s="71" t="s">
        <v>178</v>
      </c>
      <c r="C140" s="16">
        <v>0.75</v>
      </c>
      <c r="D140" s="16">
        <v>0.85968379446640319</v>
      </c>
      <c r="E140" s="16">
        <v>0.36310904872389793</v>
      </c>
      <c r="F140" s="16">
        <v>0.46454767726161367</v>
      </c>
      <c r="G140" s="16">
        <v>0.67134416543574593</v>
      </c>
      <c r="H140" s="16">
        <v>0.69333874898456538</v>
      </c>
      <c r="I140" s="16">
        <v>0.72186549509969589</v>
      </c>
      <c r="J140" s="16">
        <v>0.73357798165137611</v>
      </c>
      <c r="K140" s="16">
        <v>0.70379567222419293</v>
      </c>
      <c r="L140" s="16">
        <v>0.68192072188204966</v>
      </c>
      <c r="M140" s="16">
        <v>0.66454689984101745</v>
      </c>
      <c r="N140" s="16">
        <v>0.69741697416974169</v>
      </c>
      <c r="O140" s="16">
        <v>0.67633837351859416</v>
      </c>
      <c r="P140" s="16">
        <v>0.69915254237288138</v>
      </c>
      <c r="Q140" s="62">
        <v>0.65928369462770975</v>
      </c>
      <c r="R140" s="62">
        <v>0.69319429198682769</v>
      </c>
      <c r="S140" s="62">
        <v>0.75440658049353704</v>
      </c>
      <c r="T140" s="62">
        <v>0.73321632294866168</v>
      </c>
    </row>
    <row r="141" spans="1:20" x14ac:dyDescent="0.25">
      <c r="A141" s="121">
        <v>143</v>
      </c>
      <c r="B141" s="71" t="s">
        <v>182</v>
      </c>
      <c r="C141" s="16">
        <v>0.58822704975473017</v>
      </c>
      <c r="D141" s="16">
        <v>0.67796610169491522</v>
      </c>
      <c r="E141" s="16">
        <v>0.70355694802801327</v>
      </c>
      <c r="F141" s="16">
        <v>0.69466774835902356</v>
      </c>
      <c r="G141" s="16">
        <v>0.70524868209947289</v>
      </c>
      <c r="H141" s="16">
        <v>0.6757986539008437</v>
      </c>
      <c r="I141" s="16">
        <v>0.707758943817417</v>
      </c>
      <c r="J141" s="16">
        <v>0.72697748267898388</v>
      </c>
      <c r="K141" s="16">
        <v>0.73330871491875926</v>
      </c>
      <c r="L141" s="16">
        <v>0.69976162958682464</v>
      </c>
      <c r="M141" s="16">
        <v>0.71766150069050172</v>
      </c>
      <c r="N141" s="16">
        <v>0.70785344082925428</v>
      </c>
      <c r="O141" s="16">
        <v>0.66303867215400836</v>
      </c>
      <c r="P141" s="16">
        <v>0.65160876193532857</v>
      </c>
      <c r="Q141" s="62">
        <v>0.69939363734529447</v>
      </c>
      <c r="R141" s="62">
        <v>0.68354129530600116</v>
      </c>
      <c r="S141" s="62">
        <v>0.69423154497781359</v>
      </c>
      <c r="T141" s="62">
        <v>0.67601058710298367</v>
      </c>
    </row>
    <row r="142" spans="1:20" x14ac:dyDescent="0.25">
      <c r="A142" s="121">
        <v>152</v>
      </c>
      <c r="B142" s="71" t="s">
        <v>231</v>
      </c>
      <c r="C142" s="16">
        <v>0.30527036276522929</v>
      </c>
      <c r="D142" s="16">
        <v>0.49001536098310294</v>
      </c>
      <c r="E142" s="16">
        <v>0.44533029612756264</v>
      </c>
      <c r="F142" s="16">
        <v>0.50499001996007986</v>
      </c>
      <c r="G142" s="16">
        <v>0.53972798854688619</v>
      </c>
      <c r="H142" s="16">
        <v>0.5368421052631579</v>
      </c>
      <c r="I142" s="16">
        <v>0.58059210526315785</v>
      </c>
      <c r="J142" s="16">
        <v>0.52986512524084783</v>
      </c>
      <c r="K142" s="16">
        <v>0.6292134831460674</v>
      </c>
      <c r="L142" s="16">
        <v>0.62424242424242427</v>
      </c>
      <c r="M142" s="16">
        <v>0.62651646447140386</v>
      </c>
      <c r="N142" s="16">
        <v>0.62912087912087911</v>
      </c>
      <c r="O142" s="16">
        <v>0.67088607594936711</v>
      </c>
      <c r="P142" s="16">
        <v>0.69731800766283525</v>
      </c>
      <c r="Q142" s="62">
        <v>0.72749922142634693</v>
      </c>
      <c r="R142" s="62">
        <v>0.7535388791933294</v>
      </c>
      <c r="S142" s="62">
        <v>0.71469534050179206</v>
      </c>
      <c r="T142" s="62">
        <v>0.74730725623582761</v>
      </c>
    </row>
    <row r="143" spans="1:20" x14ac:dyDescent="0.25">
      <c r="A143" s="121">
        <v>155</v>
      </c>
      <c r="B143" s="71" t="s">
        <v>171</v>
      </c>
      <c r="C143" s="16" t="s">
        <v>62</v>
      </c>
      <c r="D143" s="16" t="s">
        <v>62</v>
      </c>
      <c r="E143" s="16">
        <v>0.6821829855537721</v>
      </c>
      <c r="F143" s="16">
        <v>0.72147651006711411</v>
      </c>
      <c r="G143" s="16">
        <v>0.54243542435424352</v>
      </c>
      <c r="H143" s="16">
        <v>0.53361344537815125</v>
      </c>
      <c r="I143" s="16">
        <v>0.42932489451476791</v>
      </c>
      <c r="J143" s="16">
        <v>0.50066015315553203</v>
      </c>
      <c r="K143" s="16">
        <v>0.57172439759036142</v>
      </c>
      <c r="L143" s="16">
        <v>0.63236714975845409</v>
      </c>
      <c r="M143" s="16">
        <v>0.59577735124760078</v>
      </c>
      <c r="N143" s="16">
        <v>0.60358744394618835</v>
      </c>
      <c r="O143" s="16">
        <v>0.55395348837209302</v>
      </c>
      <c r="P143" s="16">
        <v>0.61044176706827313</v>
      </c>
      <c r="Q143" s="62">
        <v>0.67454194792671163</v>
      </c>
      <c r="R143" s="62">
        <v>0.72885699641209634</v>
      </c>
      <c r="S143" s="62">
        <v>0.65741225772655842</v>
      </c>
      <c r="T143" s="62">
        <v>0.68560606060606055</v>
      </c>
    </row>
    <row r="144" spans="1:20" x14ac:dyDescent="0.25">
      <c r="A144" s="121">
        <v>162</v>
      </c>
      <c r="B144" s="71" t="s">
        <v>347</v>
      </c>
      <c r="C144" s="16">
        <v>0.45061728395061729</v>
      </c>
      <c r="D144" s="16">
        <v>0.50857142857142856</v>
      </c>
      <c r="E144" s="16">
        <v>0.4913294797687861</v>
      </c>
      <c r="F144" s="16">
        <v>0.50282485875706218</v>
      </c>
      <c r="G144" s="16">
        <v>0.50877192982456143</v>
      </c>
      <c r="H144" s="16">
        <v>0.56994818652849744</v>
      </c>
      <c r="I144" s="16">
        <v>0.46786632390745503</v>
      </c>
      <c r="J144" s="16">
        <v>0.58167330677290841</v>
      </c>
      <c r="K144" s="16">
        <v>0.49532710280373832</v>
      </c>
      <c r="L144" s="16">
        <v>0.495</v>
      </c>
      <c r="M144" s="16">
        <v>0.50733137829912023</v>
      </c>
      <c r="N144" s="16">
        <v>0.5829596412556054</v>
      </c>
      <c r="O144" s="16">
        <v>0.67647058823529416</v>
      </c>
      <c r="P144" s="16">
        <v>0.68235294117647061</v>
      </c>
      <c r="Q144" s="62">
        <v>0.65258215962441313</v>
      </c>
      <c r="R144" s="62">
        <v>0.67567567567567566</v>
      </c>
      <c r="S144" s="62">
        <v>0.75126903553299496</v>
      </c>
      <c r="T144" s="62">
        <v>0.66176470588235292</v>
      </c>
    </row>
    <row r="145" spans="1:20" x14ac:dyDescent="0.25">
      <c r="A145" s="121">
        <v>171</v>
      </c>
      <c r="B145" s="71" t="s">
        <v>338</v>
      </c>
      <c r="C145" s="16" t="s">
        <v>62</v>
      </c>
      <c r="D145" s="16">
        <v>0.35416666666666669</v>
      </c>
      <c r="E145" s="16">
        <v>0.37931034482758619</v>
      </c>
      <c r="F145" s="16">
        <v>7.3333333333333334E-2</v>
      </c>
      <c r="G145" s="16">
        <v>1.3513513513513514E-2</v>
      </c>
      <c r="H145" s="16">
        <v>0.24444444444444444</v>
      </c>
      <c r="I145" s="16">
        <v>0.55555555555555558</v>
      </c>
      <c r="J145" s="16" t="s">
        <v>62</v>
      </c>
      <c r="K145" s="16" t="s">
        <v>62</v>
      </c>
      <c r="L145" s="16" t="s">
        <v>62</v>
      </c>
      <c r="M145" s="16" t="s">
        <v>62</v>
      </c>
      <c r="N145" s="16">
        <v>0.28947368421052633</v>
      </c>
      <c r="O145" s="16">
        <v>0.53431372549019607</v>
      </c>
      <c r="P145" s="16" t="s">
        <v>62</v>
      </c>
      <c r="Q145" s="62" t="s">
        <v>62</v>
      </c>
      <c r="R145" s="62" t="s">
        <v>62</v>
      </c>
      <c r="S145" s="62" t="s">
        <v>62</v>
      </c>
      <c r="T145" s="62">
        <v>0.68181818181818177</v>
      </c>
    </row>
    <row r="146" spans="1:20" x14ac:dyDescent="0.25">
      <c r="A146" s="121">
        <v>176</v>
      </c>
      <c r="B146" s="71" t="s">
        <v>180</v>
      </c>
      <c r="C146" s="16">
        <v>0.43912837517764092</v>
      </c>
      <c r="D146" s="16">
        <v>0.50111557340473001</v>
      </c>
      <c r="E146" s="16">
        <v>0.55473735886107023</v>
      </c>
      <c r="F146" s="16">
        <v>0.64426877470355737</v>
      </c>
      <c r="G146" s="16">
        <v>0.57085828343313372</v>
      </c>
      <c r="H146" s="16">
        <v>0.6220247540463345</v>
      </c>
      <c r="I146" s="16">
        <v>0.58533617280194705</v>
      </c>
      <c r="J146" s="16">
        <v>0.56073376301437783</v>
      </c>
      <c r="K146" s="16">
        <v>0.49857954545454547</v>
      </c>
      <c r="L146" s="16">
        <v>0.51714005876591573</v>
      </c>
      <c r="M146" s="16">
        <v>0.55534531693472089</v>
      </c>
      <c r="N146" s="16">
        <v>0.64511784511784509</v>
      </c>
      <c r="O146" s="16">
        <v>0.58790170132325137</v>
      </c>
      <c r="P146" s="16">
        <v>0.46126760563380281</v>
      </c>
      <c r="Q146" s="62">
        <v>0.54744525547445255</v>
      </c>
      <c r="R146" s="62">
        <v>0.52293577981651373</v>
      </c>
      <c r="S146" s="62">
        <v>0.74242424242424243</v>
      </c>
      <c r="T146" s="62">
        <v>0.48888888888888887</v>
      </c>
    </row>
    <row r="147" spans="1:20" x14ac:dyDescent="0.25">
      <c r="A147" s="121">
        <v>193</v>
      </c>
      <c r="B147" s="71" t="s">
        <v>172</v>
      </c>
      <c r="C147" s="16">
        <v>0.82258064516129037</v>
      </c>
      <c r="D147" s="16">
        <v>0.72413793103448276</v>
      </c>
      <c r="E147" s="16">
        <v>0.68461538461538463</v>
      </c>
      <c r="F147" s="16">
        <v>0.40963855421686746</v>
      </c>
      <c r="G147" s="16">
        <v>0.37681159420289856</v>
      </c>
      <c r="H147" s="16">
        <v>0.625</v>
      </c>
      <c r="I147" s="16">
        <v>0.7068965517241379</v>
      </c>
      <c r="J147" s="16">
        <v>0.80952380952380953</v>
      </c>
      <c r="K147" s="16">
        <v>0.68131868131868134</v>
      </c>
      <c r="L147" s="16">
        <v>0.70769230769230773</v>
      </c>
      <c r="M147" s="16">
        <v>0.65686274509803921</v>
      </c>
      <c r="N147" s="16">
        <v>0.7441860465116279</v>
      </c>
      <c r="O147" s="16">
        <v>0.65517241379310343</v>
      </c>
      <c r="P147" s="16">
        <v>0.73750000000000004</v>
      </c>
      <c r="Q147" s="62">
        <v>0.80246913580246915</v>
      </c>
      <c r="R147" s="62">
        <v>0.75</v>
      </c>
      <c r="S147" s="62">
        <v>0.81609195402298851</v>
      </c>
      <c r="T147" s="62">
        <v>0.7752808988764045</v>
      </c>
    </row>
    <row r="148" spans="1:20" x14ac:dyDescent="0.25">
      <c r="A148" s="121">
        <v>676</v>
      </c>
      <c r="B148" s="71" t="s">
        <v>173</v>
      </c>
      <c r="C148" s="16" t="s">
        <v>62</v>
      </c>
      <c r="D148" s="16" t="s">
        <v>62</v>
      </c>
      <c r="E148" s="16" t="s">
        <v>62</v>
      </c>
      <c r="F148" s="16" t="s">
        <v>62</v>
      </c>
      <c r="G148" s="16" t="s">
        <v>62</v>
      </c>
      <c r="H148" s="16" t="s">
        <v>62</v>
      </c>
      <c r="I148" s="16" t="s">
        <v>62</v>
      </c>
      <c r="J148" s="16" t="s">
        <v>62</v>
      </c>
      <c r="K148" s="16" t="s">
        <v>62</v>
      </c>
      <c r="L148" s="16" t="s">
        <v>62</v>
      </c>
      <c r="M148" s="16" t="s">
        <v>62</v>
      </c>
      <c r="N148" s="16" t="s">
        <v>62</v>
      </c>
      <c r="O148" s="16" t="s">
        <v>62</v>
      </c>
      <c r="P148" s="16" t="s">
        <v>62</v>
      </c>
      <c r="Q148" s="62" t="s">
        <v>62</v>
      </c>
      <c r="R148" s="62" t="s">
        <v>62</v>
      </c>
      <c r="S148" s="62" t="s">
        <v>62</v>
      </c>
      <c r="T148" s="62">
        <v>0.7857142857142857</v>
      </c>
    </row>
    <row r="149" spans="1:20" x14ac:dyDescent="0.25">
      <c r="A149" s="121">
        <v>693</v>
      </c>
      <c r="B149" s="71" t="s">
        <v>170</v>
      </c>
      <c r="C149" s="16" t="s">
        <v>62</v>
      </c>
      <c r="D149" s="16" t="s">
        <v>62</v>
      </c>
      <c r="E149" s="16" t="s">
        <v>62</v>
      </c>
      <c r="F149" s="16" t="s">
        <v>62</v>
      </c>
      <c r="G149" s="16" t="s">
        <v>62</v>
      </c>
      <c r="H149" s="16" t="s">
        <v>62</v>
      </c>
      <c r="I149" s="16" t="s">
        <v>62</v>
      </c>
      <c r="J149" s="16" t="s">
        <v>62</v>
      </c>
      <c r="K149" s="16" t="s">
        <v>62</v>
      </c>
      <c r="L149" s="16" t="s">
        <v>62</v>
      </c>
      <c r="M149" s="16" t="s">
        <v>62</v>
      </c>
      <c r="N149" s="16" t="s">
        <v>62</v>
      </c>
      <c r="O149" s="16" t="s">
        <v>62</v>
      </c>
      <c r="P149" s="16">
        <v>0.8666666666666667</v>
      </c>
      <c r="Q149" s="62">
        <v>0.75</v>
      </c>
      <c r="R149" s="62">
        <v>0.65789473684210531</v>
      </c>
      <c r="S149" s="62">
        <v>0.78378378378378377</v>
      </c>
      <c r="T149" s="62">
        <v>0.63157894736842102</v>
      </c>
    </row>
    <row r="150" spans="1:20" x14ac:dyDescent="0.25">
      <c r="A150" s="149" t="s">
        <v>402</v>
      </c>
      <c r="B150" s="104"/>
      <c r="C150" s="104"/>
      <c r="D150" s="37"/>
      <c r="E150" s="37"/>
      <c r="F150" s="37"/>
      <c r="G150" s="37"/>
      <c r="P150" s="141"/>
      <c r="Q150" s="141"/>
    </row>
    <row r="152" spans="1:20" ht="18" x14ac:dyDescent="0.25">
      <c r="A152" s="68" t="s">
        <v>464</v>
      </c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</row>
    <row r="153" spans="1:20" ht="30" customHeight="1" x14ac:dyDescent="0.25">
      <c r="A153" s="39" t="s">
        <v>339</v>
      </c>
      <c r="B153" s="39" t="s">
        <v>409</v>
      </c>
      <c r="C153" s="38">
        <v>2007</v>
      </c>
      <c r="D153" s="38">
        <v>2008</v>
      </c>
      <c r="E153" s="38">
        <v>2009</v>
      </c>
      <c r="F153" s="38">
        <v>2010</v>
      </c>
      <c r="G153" s="38">
        <v>2011</v>
      </c>
      <c r="H153" s="38">
        <v>2012</v>
      </c>
      <c r="I153" s="38">
        <v>2013</v>
      </c>
      <c r="J153" s="38">
        <v>2014</v>
      </c>
      <c r="K153" s="38">
        <v>2015</v>
      </c>
      <c r="L153" s="38">
        <v>2016</v>
      </c>
      <c r="M153" s="38">
        <v>2017</v>
      </c>
      <c r="N153" s="38">
        <v>2018</v>
      </c>
      <c r="O153" s="38">
        <v>2019</v>
      </c>
      <c r="P153" s="38">
        <v>2020</v>
      </c>
      <c r="Q153" s="38">
        <v>2021</v>
      </c>
      <c r="R153" s="38">
        <v>2022</v>
      </c>
      <c r="S153" s="38">
        <v>2023</v>
      </c>
      <c r="T153" s="38">
        <v>2024</v>
      </c>
    </row>
    <row r="154" spans="1:20" x14ac:dyDescent="0.25">
      <c r="A154" s="121">
        <v>99</v>
      </c>
      <c r="B154" s="71" t="s">
        <v>183</v>
      </c>
      <c r="C154" s="16">
        <v>0.58974358974358976</v>
      </c>
      <c r="D154" s="16">
        <v>0.66666666666666663</v>
      </c>
      <c r="E154" s="16">
        <v>0.69565217391304346</v>
      </c>
      <c r="F154" s="16">
        <v>0.7</v>
      </c>
      <c r="G154" s="16">
        <v>0.8</v>
      </c>
      <c r="H154" s="16">
        <v>0.8571428571428571</v>
      </c>
      <c r="I154" s="16">
        <v>0.75510204081632648</v>
      </c>
      <c r="J154" s="16">
        <v>0.86363636363636365</v>
      </c>
      <c r="K154" s="16">
        <v>0.84210526315789469</v>
      </c>
      <c r="L154" s="16">
        <v>0.86274509803921573</v>
      </c>
      <c r="M154" s="16">
        <v>0.88571428571428568</v>
      </c>
      <c r="N154" s="16">
        <v>0.875</v>
      </c>
      <c r="O154" s="16">
        <v>0.77142857142857146</v>
      </c>
      <c r="P154" s="16">
        <v>0.82352941176470584</v>
      </c>
      <c r="Q154" s="62">
        <v>0.78823529411764703</v>
      </c>
      <c r="R154" s="62">
        <v>0.84946236559139787</v>
      </c>
      <c r="S154" s="62">
        <v>0.82291666666666663</v>
      </c>
      <c r="T154" s="62">
        <v>0.83495145631067957</v>
      </c>
    </row>
    <row r="155" spans="1:20" x14ac:dyDescent="0.25">
      <c r="A155" s="121">
        <v>100</v>
      </c>
      <c r="B155" s="71" t="s">
        <v>174</v>
      </c>
      <c r="C155" s="16">
        <v>0.69368431019789789</v>
      </c>
      <c r="D155" s="16">
        <v>0.64814994658638436</v>
      </c>
      <c r="E155" s="41">
        <v>0.65531543331150399</v>
      </c>
      <c r="F155" s="41">
        <v>0.72075339260645765</v>
      </c>
      <c r="G155" s="41">
        <v>0.69176295191949311</v>
      </c>
      <c r="H155" s="41">
        <v>0.70650712557139017</v>
      </c>
      <c r="I155" s="41">
        <v>0.69123505976095623</v>
      </c>
      <c r="J155" s="41">
        <v>0.68870314083080042</v>
      </c>
      <c r="K155" s="41">
        <v>0.71280367695338154</v>
      </c>
      <c r="L155" s="41">
        <v>0.73869763583575276</v>
      </c>
      <c r="M155" s="41">
        <v>0.76307970546441029</v>
      </c>
      <c r="N155" s="41">
        <v>0.77691493116837274</v>
      </c>
      <c r="O155" s="41">
        <v>0.76009056900964755</v>
      </c>
      <c r="P155" s="41">
        <v>0.70061432136686508</v>
      </c>
      <c r="Q155" s="62">
        <v>0.7415888673595209</v>
      </c>
      <c r="R155" s="62">
        <v>0.79525053043904026</v>
      </c>
      <c r="S155" s="62">
        <v>0.81321453914688957</v>
      </c>
      <c r="T155" s="62">
        <v>0.80294885578252184</v>
      </c>
    </row>
    <row r="156" spans="1:20" x14ac:dyDescent="0.25">
      <c r="A156" s="121">
        <v>104</v>
      </c>
      <c r="B156" s="71" t="s">
        <v>176</v>
      </c>
      <c r="C156" s="16">
        <v>0.55706521739130432</v>
      </c>
      <c r="D156" s="16">
        <v>0.51954022988505744</v>
      </c>
      <c r="E156" s="16">
        <v>0.5575</v>
      </c>
      <c r="F156" s="16">
        <v>0.58805970149253728</v>
      </c>
      <c r="G156" s="16">
        <v>0.54405286343612336</v>
      </c>
      <c r="H156" s="16">
        <v>0.67307692307692313</v>
      </c>
      <c r="I156" s="16">
        <v>0.71799999999999997</v>
      </c>
      <c r="J156" s="16">
        <v>0.68480725623582761</v>
      </c>
      <c r="K156" s="16">
        <v>0.67632850241545894</v>
      </c>
      <c r="L156" s="16">
        <v>0.76258992805755399</v>
      </c>
      <c r="M156" s="16">
        <v>0.73871733966745845</v>
      </c>
      <c r="N156" s="16">
        <v>0.76081424936386766</v>
      </c>
      <c r="O156" s="16">
        <v>0.68877551020408168</v>
      </c>
      <c r="P156" s="16">
        <v>0.80672268907563027</v>
      </c>
      <c r="Q156" s="62">
        <v>0.82376237623762372</v>
      </c>
      <c r="R156" s="62">
        <v>0.78605769230769229</v>
      </c>
      <c r="S156" s="62">
        <v>0.80760095011876487</v>
      </c>
      <c r="T156" s="62">
        <v>0.79710144927536231</v>
      </c>
    </row>
    <row r="157" spans="1:20" x14ac:dyDescent="0.25">
      <c r="A157" s="121">
        <v>106</v>
      </c>
      <c r="B157" s="71" t="s">
        <v>169</v>
      </c>
      <c r="C157" s="16">
        <v>0.68833202819107286</v>
      </c>
      <c r="D157" s="16">
        <v>0.66148531951640754</v>
      </c>
      <c r="E157" s="41">
        <v>0.71531413612565442</v>
      </c>
      <c r="F157" s="41">
        <v>0.74018126888217528</v>
      </c>
      <c r="G157" s="41">
        <v>0.62987012987012991</v>
      </c>
      <c r="H157" s="41">
        <v>0.5843279709392839</v>
      </c>
      <c r="I157" s="41">
        <v>0.53180515759312319</v>
      </c>
      <c r="J157" s="41">
        <v>0.43500424808836025</v>
      </c>
      <c r="K157" s="41">
        <v>0.41517857142857145</v>
      </c>
      <c r="L157" s="41">
        <v>0.46054333764553684</v>
      </c>
      <c r="M157" s="41">
        <v>0.41316685584562995</v>
      </c>
      <c r="N157" s="41">
        <v>0.48056994818652848</v>
      </c>
      <c r="O157" s="41">
        <v>0.48721399730820997</v>
      </c>
      <c r="P157" s="41">
        <v>0.51302083333333337</v>
      </c>
      <c r="Q157" s="62">
        <v>0.59090909090909094</v>
      </c>
      <c r="R157" s="62">
        <v>0.63529411764705879</v>
      </c>
      <c r="S157" s="62">
        <v>0.61916965658636591</v>
      </c>
      <c r="T157" s="62">
        <v>0.62828784119106695</v>
      </c>
    </row>
    <row r="158" spans="1:20" x14ac:dyDescent="0.25">
      <c r="A158" s="121">
        <v>108</v>
      </c>
      <c r="B158" s="71" t="s">
        <v>232</v>
      </c>
      <c r="C158" s="16" t="s">
        <v>62</v>
      </c>
      <c r="D158" s="16" t="s">
        <v>62</v>
      </c>
      <c r="E158" s="41">
        <v>0.4375</v>
      </c>
      <c r="F158" s="41">
        <v>0.37037037037037035</v>
      </c>
      <c r="G158" s="41" t="s">
        <v>62</v>
      </c>
      <c r="H158" s="41">
        <v>0.72222222222222221</v>
      </c>
      <c r="I158" s="41">
        <v>0.9</v>
      </c>
      <c r="J158" s="41">
        <v>0.3125</v>
      </c>
      <c r="K158" s="41" t="s">
        <v>62</v>
      </c>
      <c r="L158" s="41" t="s">
        <v>62</v>
      </c>
      <c r="M158" s="41" t="s">
        <v>62</v>
      </c>
      <c r="N158" s="41" t="s">
        <v>62</v>
      </c>
      <c r="O158" s="41" t="s">
        <v>62</v>
      </c>
      <c r="P158" s="41" t="s">
        <v>62</v>
      </c>
      <c r="Q158" s="62">
        <v>0.78048780487804881</v>
      </c>
      <c r="R158" s="62">
        <v>0.56707317073170727</v>
      </c>
      <c r="S158" s="62">
        <v>0.51098901098901095</v>
      </c>
      <c r="T158" s="62">
        <v>0.25899280575539568</v>
      </c>
    </row>
    <row r="159" spans="1:20" x14ac:dyDescent="0.25">
      <c r="A159" s="121">
        <v>111</v>
      </c>
      <c r="B159" s="71" t="s">
        <v>177</v>
      </c>
      <c r="C159" s="16">
        <v>0.74102220235434357</v>
      </c>
      <c r="D159" s="16">
        <v>0.73256682096461101</v>
      </c>
      <c r="E159" s="41">
        <v>0.7895248680188941</v>
      </c>
      <c r="F159" s="41">
        <v>0.77371978164803745</v>
      </c>
      <c r="G159" s="41">
        <v>0.75523145212428666</v>
      </c>
      <c r="H159" s="41">
        <v>0.75609458800585083</v>
      </c>
      <c r="I159" s="41">
        <v>0.75814793530908797</v>
      </c>
      <c r="J159" s="41">
        <v>0.79623665027970847</v>
      </c>
      <c r="K159" s="41">
        <v>0.78619604316546765</v>
      </c>
      <c r="L159" s="41">
        <v>0.7862941486557723</v>
      </c>
      <c r="M159" s="41">
        <v>0.84010714945501574</v>
      </c>
      <c r="N159" s="41">
        <v>0.86323869263783426</v>
      </c>
      <c r="O159" s="41">
        <v>0.81383513024844301</v>
      </c>
      <c r="P159" s="41">
        <v>0.79175411278857222</v>
      </c>
      <c r="Q159" s="62">
        <v>0.77562535264246757</v>
      </c>
      <c r="R159" s="62">
        <v>0.80754983242194389</v>
      </c>
      <c r="S159" s="62">
        <v>0.81595253098088638</v>
      </c>
      <c r="T159" s="62">
        <v>0.81270786795730954</v>
      </c>
    </row>
    <row r="160" spans="1:20" x14ac:dyDescent="0.25">
      <c r="A160" s="121">
        <v>113</v>
      </c>
      <c r="B160" s="71" t="s">
        <v>184</v>
      </c>
      <c r="C160" s="41" t="s">
        <v>62</v>
      </c>
      <c r="D160" s="16" t="s">
        <v>62</v>
      </c>
      <c r="E160" s="41">
        <v>0.28333333333333333</v>
      </c>
      <c r="F160" s="41">
        <v>0.30597014925373134</v>
      </c>
      <c r="G160" s="41">
        <v>0.45081967213114754</v>
      </c>
      <c r="H160" s="41">
        <v>0.54838709677419351</v>
      </c>
      <c r="I160" s="41" t="s">
        <v>62</v>
      </c>
      <c r="J160" s="41">
        <v>0.57894736842105265</v>
      </c>
      <c r="K160" s="41" t="s">
        <v>62</v>
      </c>
      <c r="L160" s="41" t="s">
        <v>62</v>
      </c>
      <c r="M160" s="41" t="s">
        <v>62</v>
      </c>
      <c r="N160" s="41">
        <v>0.875</v>
      </c>
      <c r="O160" s="41" t="s">
        <v>62</v>
      </c>
      <c r="P160" s="41" t="s">
        <v>62</v>
      </c>
      <c r="Q160" s="62" t="s">
        <v>62</v>
      </c>
      <c r="R160" s="62" t="s">
        <v>62</v>
      </c>
      <c r="S160" s="62">
        <v>0.44635193133047213</v>
      </c>
      <c r="T160" s="62">
        <v>0.5036144578313253</v>
      </c>
    </row>
    <row r="161" spans="1:20" x14ac:dyDescent="0.25">
      <c r="A161" s="121">
        <v>116</v>
      </c>
      <c r="B161" s="71" t="s">
        <v>168</v>
      </c>
      <c r="C161" s="16">
        <v>0.46603148301574149</v>
      </c>
      <c r="D161" s="16">
        <v>0.72708894878706198</v>
      </c>
      <c r="E161" s="41">
        <v>0.85126324368378159</v>
      </c>
      <c r="F161" s="41">
        <v>0.70627615062761506</v>
      </c>
      <c r="G161" s="41">
        <v>0.67880707310636057</v>
      </c>
      <c r="H161" s="41">
        <v>0.67424404889556078</v>
      </c>
      <c r="I161" s="41">
        <v>0.62958413756799436</v>
      </c>
      <c r="J161" s="41">
        <v>0.66029060143461471</v>
      </c>
      <c r="K161" s="41">
        <v>0.65481481481481485</v>
      </c>
      <c r="L161" s="41">
        <v>0.66358813126350957</v>
      </c>
      <c r="M161" s="41">
        <v>0.69488566940129171</v>
      </c>
      <c r="N161" s="41">
        <v>0.70769230769230773</v>
      </c>
      <c r="O161" s="41">
        <v>0.68761868590960884</v>
      </c>
      <c r="P161" s="41">
        <v>0.7344379758172862</v>
      </c>
      <c r="Q161" s="62">
        <v>0.70206352886621837</v>
      </c>
      <c r="R161" s="62">
        <v>0.78565086130349848</v>
      </c>
      <c r="S161" s="62">
        <v>0.76441490183954242</v>
      </c>
      <c r="T161" s="62">
        <v>0.75422999713220529</v>
      </c>
    </row>
    <row r="162" spans="1:20" x14ac:dyDescent="0.25">
      <c r="A162" s="121">
        <v>117</v>
      </c>
      <c r="B162" s="71" t="s">
        <v>344</v>
      </c>
      <c r="C162" s="41">
        <v>0</v>
      </c>
      <c r="D162" s="16" t="s">
        <v>62</v>
      </c>
      <c r="E162" s="41" t="s">
        <v>62</v>
      </c>
      <c r="F162" s="41" t="s">
        <v>62</v>
      </c>
      <c r="G162" s="41">
        <v>0.7142857142857143</v>
      </c>
      <c r="H162" s="41">
        <v>0.39860139860139859</v>
      </c>
      <c r="I162" s="41">
        <v>0.43037974683544306</v>
      </c>
      <c r="J162" s="41">
        <v>0.42559523809523808</v>
      </c>
      <c r="K162" s="41">
        <v>0.40104166666666669</v>
      </c>
      <c r="L162" s="41">
        <v>0.51834862385321101</v>
      </c>
      <c r="M162" s="41">
        <v>0.53825136612021862</v>
      </c>
      <c r="N162" s="41">
        <v>0.53956834532374098</v>
      </c>
      <c r="O162" s="41">
        <v>0.51497584541062802</v>
      </c>
      <c r="P162" s="41">
        <v>0.65755919854280509</v>
      </c>
      <c r="Q162" s="62">
        <v>0.63877338877338874</v>
      </c>
      <c r="R162" s="62">
        <v>0.61778741865509756</v>
      </c>
      <c r="S162" s="62">
        <v>0.66602576427610072</v>
      </c>
      <c r="T162" s="62">
        <v>0.70295936395759717</v>
      </c>
    </row>
    <row r="163" spans="1:20" x14ac:dyDescent="0.25">
      <c r="A163" s="121">
        <v>120</v>
      </c>
      <c r="B163" s="71" t="s">
        <v>179</v>
      </c>
      <c r="C163" s="16">
        <v>0.40692934782608697</v>
      </c>
      <c r="D163" s="16">
        <v>0.53348729792147809</v>
      </c>
      <c r="E163" s="41">
        <v>0.46100519930675909</v>
      </c>
      <c r="F163" s="41">
        <v>0.44453004622496151</v>
      </c>
      <c r="G163" s="41">
        <v>0.45145631067961167</v>
      </c>
      <c r="H163" s="41">
        <v>0.5361028684470821</v>
      </c>
      <c r="I163" s="41">
        <v>0.51043219076005963</v>
      </c>
      <c r="J163" s="41">
        <v>0.50494350282485878</v>
      </c>
      <c r="K163" s="41">
        <v>0.41279069767441862</v>
      </c>
      <c r="L163" s="41">
        <v>0.45092838196286472</v>
      </c>
      <c r="M163" s="41">
        <v>0.43760683760683761</v>
      </c>
      <c r="N163" s="41">
        <v>0.42943854324734448</v>
      </c>
      <c r="O163" s="41">
        <v>0.48571428571428571</v>
      </c>
      <c r="P163" s="41">
        <v>0.45918367346938777</v>
      </c>
      <c r="Q163" s="62">
        <v>0.60137457044673537</v>
      </c>
      <c r="R163" s="62">
        <v>0.49164345403899723</v>
      </c>
      <c r="S163" s="62">
        <v>0.51491712707182324</v>
      </c>
      <c r="T163" s="62">
        <v>0.5723140495867769</v>
      </c>
    </row>
    <row r="164" spans="1:20" x14ac:dyDescent="0.25">
      <c r="A164" s="121">
        <v>123</v>
      </c>
      <c r="B164" s="71" t="s">
        <v>181</v>
      </c>
      <c r="C164" s="16">
        <v>0.45044099118017639</v>
      </c>
      <c r="D164" s="16">
        <v>0.4838645418326693</v>
      </c>
      <c r="E164" s="41">
        <v>0.53636981645139359</v>
      </c>
      <c r="F164" s="41">
        <v>0.6052473462847987</v>
      </c>
      <c r="G164" s="41">
        <v>0.59961848240779991</v>
      </c>
      <c r="H164" s="41">
        <v>0.61410675381263613</v>
      </c>
      <c r="I164" s="41">
        <v>0.6381514257620452</v>
      </c>
      <c r="J164" s="41">
        <v>0.61120964881163531</v>
      </c>
      <c r="K164" s="41">
        <v>0.63118617439120184</v>
      </c>
      <c r="L164" s="41">
        <v>0.67146548541897377</v>
      </c>
      <c r="M164" s="41">
        <v>0.75963422599608099</v>
      </c>
      <c r="N164" s="41">
        <v>0.73807266982622433</v>
      </c>
      <c r="O164" s="41">
        <v>0.68567961165048541</v>
      </c>
      <c r="P164" s="41">
        <v>0.69236641221374051</v>
      </c>
      <c r="Q164" s="62">
        <v>0.67855183763027971</v>
      </c>
      <c r="R164" s="62">
        <v>0.71398483572030325</v>
      </c>
      <c r="S164" s="62">
        <v>0.72165820642978007</v>
      </c>
      <c r="T164" s="62">
        <v>0.73807721423164274</v>
      </c>
    </row>
    <row r="165" spans="1:20" x14ac:dyDescent="0.25">
      <c r="A165" s="121">
        <v>129</v>
      </c>
      <c r="B165" s="71" t="s">
        <v>175</v>
      </c>
      <c r="C165" s="16">
        <v>0.542713567839196</v>
      </c>
      <c r="D165" s="16">
        <v>0.53424657534246578</v>
      </c>
      <c r="E165" s="41">
        <v>0.50704225352112675</v>
      </c>
      <c r="F165" s="41">
        <v>0.60824742268041232</v>
      </c>
      <c r="G165" s="41">
        <v>0.4632768361581921</v>
      </c>
      <c r="H165" s="41">
        <v>0.59638554216867468</v>
      </c>
      <c r="I165" s="41">
        <v>0.56595744680851068</v>
      </c>
      <c r="J165" s="41">
        <v>0.57761732851985559</v>
      </c>
      <c r="K165" s="41">
        <v>0.63963963963963966</v>
      </c>
      <c r="L165" s="41">
        <v>0.60326086956521741</v>
      </c>
      <c r="M165" s="41">
        <v>0.63200000000000001</v>
      </c>
      <c r="N165" s="41">
        <v>0.69184290030211482</v>
      </c>
      <c r="O165" s="41">
        <v>0.5895765472312704</v>
      </c>
      <c r="P165" s="41">
        <v>0.62925170068027214</v>
      </c>
      <c r="Q165" s="62">
        <v>0.65486725663716816</v>
      </c>
      <c r="R165" s="62">
        <v>0.71311475409836067</v>
      </c>
      <c r="S165" s="62">
        <v>0.7032520325203252</v>
      </c>
      <c r="T165" s="62">
        <v>0.73221757322175729</v>
      </c>
    </row>
    <row r="166" spans="1:20" x14ac:dyDescent="0.25">
      <c r="A166" s="121">
        <v>137</v>
      </c>
      <c r="B166" s="71" t="s">
        <v>345</v>
      </c>
      <c r="C166" s="41">
        <v>0.63</v>
      </c>
      <c r="D166" s="41">
        <v>0.74712643678160917</v>
      </c>
      <c r="E166" s="41">
        <v>0.63953488372093026</v>
      </c>
      <c r="F166" s="41">
        <v>0.76767676767676762</v>
      </c>
      <c r="G166" s="41">
        <v>0.64583333333333337</v>
      </c>
      <c r="H166" s="41">
        <v>0.54471544715447151</v>
      </c>
      <c r="I166" s="41">
        <v>0.73134328358208955</v>
      </c>
      <c r="J166" s="41">
        <v>0.66433566433566438</v>
      </c>
      <c r="K166" s="41">
        <v>0.71779141104294475</v>
      </c>
      <c r="L166" s="41">
        <v>0.67532467532467533</v>
      </c>
      <c r="M166" s="41">
        <v>0.6633663366336634</v>
      </c>
      <c r="N166" s="41">
        <v>0.64102564102564108</v>
      </c>
      <c r="O166" s="41">
        <v>0.57894736842105265</v>
      </c>
      <c r="P166" s="41">
        <v>0.67567567567567566</v>
      </c>
      <c r="Q166" s="62">
        <v>0.72222222222222221</v>
      </c>
      <c r="R166" s="62">
        <v>0.68152866242038213</v>
      </c>
      <c r="S166" s="62">
        <v>0.65745856353591159</v>
      </c>
      <c r="T166" s="62">
        <v>0.625</v>
      </c>
    </row>
    <row r="167" spans="1:20" x14ac:dyDescent="0.25">
      <c r="A167" s="121">
        <v>139</v>
      </c>
      <c r="B167" s="71" t="s">
        <v>178</v>
      </c>
      <c r="C167" s="41">
        <v>0.75355969331872952</v>
      </c>
      <c r="D167" s="16">
        <v>0.80906921241050123</v>
      </c>
      <c r="E167" s="16">
        <v>0.38188976377952755</v>
      </c>
      <c r="F167" s="16">
        <v>0.48821989528795812</v>
      </c>
      <c r="G167" s="16">
        <v>0.69804822043628012</v>
      </c>
      <c r="H167" s="16">
        <v>0.76671850699844479</v>
      </c>
      <c r="I167" s="16">
        <v>0.81373569198751305</v>
      </c>
      <c r="J167" s="16">
        <v>0.80608974358974361</v>
      </c>
      <c r="K167" s="16">
        <v>0.79069767441860461</v>
      </c>
      <c r="L167" s="16">
        <v>0.77408056042031526</v>
      </c>
      <c r="M167" s="16">
        <v>0.78097345132743368</v>
      </c>
      <c r="N167" s="16">
        <v>0.7773972602739726</v>
      </c>
      <c r="O167" s="16">
        <v>0.71661237785016285</v>
      </c>
      <c r="P167" s="16">
        <v>0.76136363636363635</v>
      </c>
      <c r="Q167" s="62">
        <v>0.78424657534246578</v>
      </c>
      <c r="R167" s="62">
        <v>0.75899280575539574</v>
      </c>
      <c r="S167" s="62">
        <v>0.80979827089337175</v>
      </c>
      <c r="T167" s="62">
        <v>0.82903663500678426</v>
      </c>
    </row>
    <row r="168" spans="1:20" x14ac:dyDescent="0.25">
      <c r="A168" s="121">
        <v>143</v>
      </c>
      <c r="B168" s="71" t="s">
        <v>182</v>
      </c>
      <c r="C168" s="16">
        <v>0.55987055016181231</v>
      </c>
      <c r="D168" s="16">
        <v>0.65388530709195791</v>
      </c>
      <c r="E168" s="41">
        <v>0.66063803064556648</v>
      </c>
      <c r="F168" s="41">
        <v>0.66042296072507556</v>
      </c>
      <c r="G168" s="41">
        <v>0.69517324253955537</v>
      </c>
      <c r="H168" s="41">
        <v>0.69170516167905205</v>
      </c>
      <c r="I168" s="41">
        <v>0.68971220641746611</v>
      </c>
      <c r="J168" s="41">
        <v>0.70323141573684977</v>
      </c>
      <c r="K168" s="41">
        <v>0.73471440064360416</v>
      </c>
      <c r="L168" s="41">
        <v>0.70134994807892004</v>
      </c>
      <c r="M168" s="41">
        <v>0.69967830882352944</v>
      </c>
      <c r="N168" s="41">
        <v>0.7152515410618413</v>
      </c>
      <c r="O168" s="41">
        <v>0.64219807258560591</v>
      </c>
      <c r="P168" s="41">
        <v>0.67891753519839093</v>
      </c>
      <c r="Q168" s="62">
        <v>0.68887584385089518</v>
      </c>
      <c r="R168" s="62">
        <v>0.65209102823781728</v>
      </c>
      <c r="S168" s="62">
        <v>0.66893822818201798</v>
      </c>
      <c r="T168" s="62">
        <v>0.66898831306811479</v>
      </c>
    </row>
    <row r="169" spans="1:20" x14ac:dyDescent="0.25">
      <c r="A169" s="121">
        <v>144</v>
      </c>
      <c r="B169" s="71" t="s">
        <v>346</v>
      </c>
      <c r="C169" s="41">
        <v>0.65329512893982811</v>
      </c>
      <c r="D169" s="41">
        <v>0.64030612244897955</v>
      </c>
      <c r="E169" s="41">
        <v>0.27687296416938112</v>
      </c>
      <c r="F169" s="41">
        <v>0.4621212121212121</v>
      </c>
      <c r="G169" s="41">
        <v>0.56973293768545996</v>
      </c>
      <c r="H169" s="41">
        <v>0.64021164021164023</v>
      </c>
      <c r="I169" s="41">
        <v>0.67180616740088106</v>
      </c>
      <c r="J169" s="16">
        <v>0.69437652811735939</v>
      </c>
      <c r="K169" s="16">
        <v>0.63479923518164438</v>
      </c>
      <c r="L169" s="16">
        <v>0.72984749455337694</v>
      </c>
      <c r="M169" s="16">
        <v>0.77363184079601988</v>
      </c>
      <c r="N169" s="16">
        <v>0.7357762777242044</v>
      </c>
      <c r="O169" s="16">
        <v>0.76313522825150737</v>
      </c>
      <c r="P169" s="16">
        <v>0.79277730008598457</v>
      </c>
      <c r="Q169" s="62">
        <v>0.73155416012558871</v>
      </c>
      <c r="R169" s="62">
        <v>0.76064257028112447</v>
      </c>
      <c r="S169" s="62">
        <v>0.77795152462861605</v>
      </c>
      <c r="T169" s="62">
        <v>0.44972288202692001</v>
      </c>
    </row>
    <row r="170" spans="1:20" x14ac:dyDescent="0.25">
      <c r="A170" s="121">
        <v>152</v>
      </c>
      <c r="B170" s="71" t="s">
        <v>231</v>
      </c>
      <c r="C170" s="41">
        <v>0.26681127982646419</v>
      </c>
      <c r="D170" s="41">
        <v>0.44780219780219782</v>
      </c>
      <c r="E170" s="41">
        <v>0.3949771689497717</v>
      </c>
      <c r="F170" s="41">
        <v>0.44380403458213258</v>
      </c>
      <c r="G170" s="41">
        <v>0.47516198704103674</v>
      </c>
      <c r="H170" s="41">
        <v>0.41075794621026895</v>
      </c>
      <c r="I170" s="41">
        <v>0.71372549019607845</v>
      </c>
      <c r="J170" s="41">
        <v>0.67558528428093645</v>
      </c>
      <c r="K170" s="41">
        <v>0.8911290322580645</v>
      </c>
      <c r="L170" s="41">
        <v>0.86280487804878048</v>
      </c>
      <c r="M170" s="41">
        <v>0.82857142857142863</v>
      </c>
      <c r="N170" s="41">
        <v>0.82320987654320987</v>
      </c>
      <c r="O170" s="41">
        <v>0.85656934306569343</v>
      </c>
      <c r="P170" s="41">
        <v>0.87760000000000005</v>
      </c>
      <c r="Q170" s="62">
        <v>0.8829419889502762</v>
      </c>
      <c r="R170" s="62">
        <v>0.8535587673847832</v>
      </c>
      <c r="S170" s="62">
        <v>0.79771304111080865</v>
      </c>
      <c r="T170" s="62">
        <v>0.78569989929506545</v>
      </c>
    </row>
    <row r="171" spans="1:20" x14ac:dyDescent="0.25">
      <c r="A171" s="121">
        <v>155</v>
      </c>
      <c r="B171" s="71" t="s">
        <v>171</v>
      </c>
      <c r="C171" s="16">
        <v>0.39218009478672988</v>
      </c>
      <c r="D171" s="16">
        <v>0.44857713429855217</v>
      </c>
      <c r="E171" s="41">
        <v>0.44666666666666666</v>
      </c>
      <c r="F171" s="41">
        <v>0.4745011086474501</v>
      </c>
      <c r="G171" s="41">
        <v>0.44010827881795622</v>
      </c>
      <c r="H171" s="41">
        <v>0.47713787085514836</v>
      </c>
      <c r="I171" s="41">
        <v>0.51667118460287342</v>
      </c>
      <c r="J171" s="41">
        <v>0.55547112462006076</v>
      </c>
      <c r="K171" s="41">
        <v>0.58265027322404372</v>
      </c>
      <c r="L171" s="41">
        <v>0.63534883720930235</v>
      </c>
      <c r="M171" s="41">
        <v>0.52459016393442626</v>
      </c>
      <c r="N171" s="41">
        <v>0.53900709219858156</v>
      </c>
      <c r="O171" s="41">
        <v>0.51255539143279172</v>
      </c>
      <c r="P171" s="41">
        <v>0.62857142857142856</v>
      </c>
      <c r="Q171" s="62">
        <v>0.68333333333333335</v>
      </c>
      <c r="R171" s="62">
        <v>0.7080610021786492</v>
      </c>
      <c r="S171" s="62">
        <v>0.6566998892580288</v>
      </c>
      <c r="T171" s="62">
        <v>0.83333333333333337</v>
      </c>
    </row>
    <row r="172" spans="1:20" x14ac:dyDescent="0.25">
      <c r="A172" s="121">
        <v>162</v>
      </c>
      <c r="B172" s="71" t="s">
        <v>347</v>
      </c>
      <c r="C172" s="16">
        <v>0.53061224489795922</v>
      </c>
      <c r="D172" s="16">
        <v>0.5625</v>
      </c>
      <c r="E172" s="41">
        <v>0.56060606060606055</v>
      </c>
      <c r="F172" s="41">
        <v>0.5714285714285714</v>
      </c>
      <c r="G172" s="41">
        <v>0.53472222222222221</v>
      </c>
      <c r="H172" s="41">
        <v>0.65384615384615385</v>
      </c>
      <c r="I172" s="41">
        <v>0.5714285714285714</v>
      </c>
      <c r="J172" s="41">
        <v>0.70085470085470081</v>
      </c>
      <c r="K172" s="41">
        <v>0.5714285714285714</v>
      </c>
      <c r="L172" s="41">
        <v>0.64864864864864868</v>
      </c>
      <c r="M172" s="41">
        <v>0.51</v>
      </c>
      <c r="N172" s="41">
        <v>0.68131868131868134</v>
      </c>
      <c r="O172" s="41">
        <v>0.73958333333333337</v>
      </c>
      <c r="P172" s="41">
        <v>0.6</v>
      </c>
      <c r="Q172" s="62">
        <v>0.73404255319148937</v>
      </c>
      <c r="R172" s="62">
        <v>0.71</v>
      </c>
      <c r="S172" s="62">
        <v>0.65294117647058825</v>
      </c>
      <c r="T172" s="62">
        <v>0.6875</v>
      </c>
    </row>
    <row r="173" spans="1:20" x14ac:dyDescent="0.25">
      <c r="A173" s="121">
        <v>171</v>
      </c>
      <c r="B173" s="71" t="s">
        <v>338</v>
      </c>
      <c r="C173" s="16" t="s">
        <v>62</v>
      </c>
      <c r="D173" s="16" t="s">
        <v>62</v>
      </c>
      <c r="E173" s="41" t="s">
        <v>62</v>
      </c>
      <c r="F173" s="41" t="s">
        <v>62</v>
      </c>
      <c r="G173" s="41" t="s">
        <v>62</v>
      </c>
      <c r="H173" s="41">
        <v>0.90909090909090906</v>
      </c>
      <c r="I173" s="41">
        <v>0.48666666666666669</v>
      </c>
      <c r="J173" s="41">
        <v>0.51361867704280151</v>
      </c>
      <c r="K173" s="41">
        <v>0.67592592592592593</v>
      </c>
      <c r="L173" s="41">
        <v>0.46684350132625996</v>
      </c>
      <c r="M173" s="41">
        <v>0.54395604395604391</v>
      </c>
      <c r="N173" s="41">
        <v>0.48799999999999999</v>
      </c>
      <c r="O173" s="41">
        <v>0.56370656370656369</v>
      </c>
      <c r="P173" s="41">
        <v>0.56687898089171973</v>
      </c>
      <c r="Q173" s="62">
        <v>0.65071770334928225</v>
      </c>
      <c r="R173" s="62">
        <v>0.53138075313807531</v>
      </c>
      <c r="S173" s="62">
        <v>0.57894736842105265</v>
      </c>
      <c r="T173" s="62">
        <v>0.69524336283185839</v>
      </c>
    </row>
    <row r="174" spans="1:20" x14ac:dyDescent="0.25">
      <c r="A174" s="121">
        <v>176</v>
      </c>
      <c r="B174" s="71" t="s">
        <v>180</v>
      </c>
      <c r="C174" s="41">
        <v>0.46540027137042062</v>
      </c>
      <c r="D174" s="41">
        <v>0.45407503234152652</v>
      </c>
      <c r="E174" s="41">
        <v>0.53541666666666665</v>
      </c>
      <c r="F174" s="41">
        <v>0.64479315263908699</v>
      </c>
      <c r="G174" s="41">
        <v>0.61702127659574468</v>
      </c>
      <c r="H174" s="41">
        <v>0.63021420518602034</v>
      </c>
      <c r="I174" s="41">
        <v>0.58196721311475408</v>
      </c>
      <c r="J174" s="41">
        <v>0.47049924357034795</v>
      </c>
      <c r="K174" s="41">
        <v>0.31489361702127661</v>
      </c>
      <c r="L174" s="41">
        <v>0.45454545454545453</v>
      </c>
      <c r="M174" s="41">
        <v>0.39603960396039606</v>
      </c>
      <c r="N174" s="41">
        <v>0.70370370370370372</v>
      </c>
      <c r="O174" s="41">
        <v>0.85263157894736841</v>
      </c>
      <c r="P174" s="41">
        <v>0.80412371134020622</v>
      </c>
      <c r="Q174" s="62">
        <v>0.86468646864686471</v>
      </c>
      <c r="R174" s="62">
        <v>0.80864197530864201</v>
      </c>
      <c r="S174" s="62">
        <v>0.81176470588235294</v>
      </c>
      <c r="T174" s="62">
        <v>0.86250000000000004</v>
      </c>
    </row>
    <row r="175" spans="1:20" x14ac:dyDescent="0.25">
      <c r="A175" s="121">
        <v>193</v>
      </c>
      <c r="B175" s="71" t="s">
        <v>172</v>
      </c>
      <c r="C175" s="41">
        <v>0.97058823529411764</v>
      </c>
      <c r="D175" s="41">
        <v>0.79545454545454541</v>
      </c>
      <c r="E175" s="16">
        <v>0.67816091954022983</v>
      </c>
      <c r="F175" s="16">
        <v>0.66492146596858637</v>
      </c>
      <c r="G175" s="16">
        <v>0.57961783439490444</v>
      </c>
      <c r="H175" s="16">
        <v>0.68181818181818177</v>
      </c>
      <c r="I175" s="16">
        <v>0.7142857142857143</v>
      </c>
      <c r="J175" s="16">
        <v>0.58158995815899583</v>
      </c>
      <c r="K175" s="16">
        <v>0.67843137254901964</v>
      </c>
      <c r="L175" s="16">
        <v>0.69298245614035092</v>
      </c>
      <c r="M175" s="16">
        <v>0.74407582938388628</v>
      </c>
      <c r="N175" s="16">
        <v>0.71028037383177567</v>
      </c>
      <c r="O175" s="16">
        <v>0.62311557788944727</v>
      </c>
      <c r="P175" s="16">
        <v>0.67368421052631577</v>
      </c>
      <c r="Q175" s="62">
        <v>0.68208092485549132</v>
      </c>
      <c r="R175" s="62">
        <v>0.75</v>
      </c>
      <c r="S175" s="62">
        <v>0.80681818181818177</v>
      </c>
      <c r="T175" s="62">
        <v>0.80225988700564976</v>
      </c>
    </row>
    <row r="176" spans="1:20" x14ac:dyDescent="0.25">
      <c r="A176" s="121">
        <v>676</v>
      </c>
      <c r="B176" s="71" t="s">
        <v>173</v>
      </c>
      <c r="C176" s="16" t="s">
        <v>62</v>
      </c>
      <c r="D176" s="16">
        <v>0.75714285714285712</v>
      </c>
      <c r="E176" s="41">
        <v>0.74375000000000002</v>
      </c>
      <c r="F176" s="41">
        <v>0.49748743718592964</v>
      </c>
      <c r="G176" s="41">
        <v>0.7142857142857143</v>
      </c>
      <c r="H176" s="41">
        <v>0.75524475524475521</v>
      </c>
      <c r="I176" s="41">
        <v>0.66386554621848737</v>
      </c>
      <c r="J176" s="41">
        <v>0.72033898305084743</v>
      </c>
      <c r="K176" s="41">
        <v>0.70108695652173914</v>
      </c>
      <c r="L176" s="41">
        <v>0.7570093457943925</v>
      </c>
      <c r="M176" s="41">
        <v>0.77884615384615385</v>
      </c>
      <c r="N176" s="41">
        <v>0.79702970297029707</v>
      </c>
      <c r="O176" s="41">
        <v>0.66115702479338845</v>
      </c>
      <c r="P176" s="41">
        <v>0.78282828282828287</v>
      </c>
      <c r="Q176" s="62">
        <v>0.84571428571428575</v>
      </c>
      <c r="R176" s="62">
        <v>0.82027649769585254</v>
      </c>
      <c r="S176" s="62">
        <v>0.85034013605442171</v>
      </c>
      <c r="T176" s="62">
        <v>0.82</v>
      </c>
    </row>
    <row r="177" spans="1:20" x14ac:dyDescent="0.25">
      <c r="A177" s="121">
        <v>693</v>
      </c>
      <c r="B177" s="71" t="s">
        <v>170</v>
      </c>
      <c r="C177" s="16" t="s">
        <v>62</v>
      </c>
      <c r="D177" s="16">
        <v>0.51136363636363635</v>
      </c>
      <c r="E177" s="16">
        <v>0.6063829787234043</v>
      </c>
      <c r="F177" s="16">
        <v>0.65151515151515149</v>
      </c>
      <c r="G177" s="16">
        <v>0.54621848739495793</v>
      </c>
      <c r="H177" s="16">
        <v>0.6470588235294118</v>
      </c>
      <c r="I177" s="16">
        <v>0.67307692307692313</v>
      </c>
      <c r="J177" s="16">
        <v>0.68656716417910446</v>
      </c>
      <c r="K177" s="16">
        <v>0.72592592592592597</v>
      </c>
      <c r="L177" s="16">
        <v>0.64341085271317833</v>
      </c>
      <c r="M177" s="16">
        <v>0.71212121212121215</v>
      </c>
      <c r="N177" s="16">
        <v>0.7567567567567568</v>
      </c>
      <c r="O177" s="16">
        <v>0.52500000000000002</v>
      </c>
      <c r="P177" s="16">
        <v>0.647887323943662</v>
      </c>
      <c r="Q177" s="62">
        <v>0.65789473684210531</v>
      </c>
      <c r="R177" s="62">
        <v>0.73493975903614461</v>
      </c>
      <c r="S177" s="62">
        <v>0.78873239436619713</v>
      </c>
      <c r="T177" s="62">
        <v>0.65079365079365081</v>
      </c>
    </row>
    <row r="178" spans="1:20" x14ac:dyDescent="0.25">
      <c r="A178" s="121">
        <v>754</v>
      </c>
      <c r="B178" s="71" t="s">
        <v>230</v>
      </c>
      <c r="C178" s="16" t="s">
        <v>62</v>
      </c>
      <c r="D178" s="16" t="s">
        <v>62</v>
      </c>
      <c r="E178" s="41" t="s">
        <v>62</v>
      </c>
      <c r="F178" s="41" t="s">
        <v>62</v>
      </c>
      <c r="G178" s="41" t="s">
        <v>62</v>
      </c>
      <c r="H178" s="41" t="s">
        <v>62</v>
      </c>
      <c r="I178" s="41" t="s">
        <v>62</v>
      </c>
      <c r="J178" s="41" t="s">
        <v>62</v>
      </c>
      <c r="K178" s="41" t="s">
        <v>62</v>
      </c>
      <c r="L178" s="41">
        <v>0.66666666666666663</v>
      </c>
      <c r="M178" s="41">
        <v>0.73333333333333328</v>
      </c>
      <c r="N178" s="41">
        <v>0.80769230769230771</v>
      </c>
      <c r="O178" s="41">
        <v>0.60869565217391308</v>
      </c>
      <c r="P178" s="41">
        <v>0.68421052631578949</v>
      </c>
      <c r="Q178" s="62">
        <v>0.80392156862745101</v>
      </c>
      <c r="R178" s="62">
        <v>0.69230769230769229</v>
      </c>
      <c r="S178" s="62">
        <v>0.65853658536585369</v>
      </c>
      <c r="T178" s="62">
        <v>0.94230769230769229</v>
      </c>
    </row>
    <row r="179" spans="1:20" x14ac:dyDescent="0.25">
      <c r="A179" s="121">
        <v>951</v>
      </c>
      <c r="B179" s="71" t="s">
        <v>391</v>
      </c>
      <c r="C179" s="16" t="s">
        <v>62</v>
      </c>
      <c r="D179" s="16" t="s">
        <v>62</v>
      </c>
      <c r="E179" s="41" t="s">
        <v>62</v>
      </c>
      <c r="F179" s="41" t="s">
        <v>62</v>
      </c>
      <c r="G179" s="41" t="s">
        <v>62</v>
      </c>
      <c r="H179" s="41" t="s">
        <v>62</v>
      </c>
      <c r="I179" s="41" t="s">
        <v>62</v>
      </c>
      <c r="J179" s="41" t="s">
        <v>62</v>
      </c>
      <c r="K179" s="41" t="s">
        <v>62</v>
      </c>
      <c r="L179" s="41" t="s">
        <v>62</v>
      </c>
      <c r="M179" s="41" t="s">
        <v>62</v>
      </c>
      <c r="N179" s="41" t="s">
        <v>62</v>
      </c>
      <c r="O179" s="41" t="s">
        <v>62</v>
      </c>
      <c r="P179" s="41" t="s">
        <v>62</v>
      </c>
      <c r="Q179" s="62" t="s">
        <v>62</v>
      </c>
      <c r="R179" s="62" t="s">
        <v>62</v>
      </c>
      <c r="S179" s="62">
        <v>0.9</v>
      </c>
      <c r="T179" s="62">
        <v>0.81818181818181823</v>
      </c>
    </row>
    <row r="180" spans="1:20" x14ac:dyDescent="0.25">
      <c r="A180" s="149" t="s">
        <v>402</v>
      </c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P180" s="141"/>
      <c r="Q180" s="141"/>
    </row>
    <row r="182" spans="1:20" ht="18" x14ac:dyDescent="0.25">
      <c r="A182" s="68" t="s">
        <v>465</v>
      </c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</row>
    <row r="183" spans="1:20" ht="30" customHeight="1" x14ac:dyDescent="0.25">
      <c r="A183" s="39" t="s">
        <v>339</v>
      </c>
      <c r="B183" s="39" t="s">
        <v>409</v>
      </c>
      <c r="C183" s="38">
        <v>2007</v>
      </c>
      <c r="D183" s="38">
        <v>2008</v>
      </c>
      <c r="E183" s="38">
        <v>2009</v>
      </c>
      <c r="F183" s="38">
        <v>2010</v>
      </c>
      <c r="G183" s="38">
        <v>2011</v>
      </c>
      <c r="H183" s="38">
        <v>2012</v>
      </c>
      <c r="I183" s="38">
        <v>2013</v>
      </c>
      <c r="J183" s="38">
        <v>2014</v>
      </c>
      <c r="K183" s="38">
        <v>2015</v>
      </c>
      <c r="L183" s="38">
        <v>2016</v>
      </c>
      <c r="M183" s="38">
        <v>2017</v>
      </c>
      <c r="N183" s="38">
        <v>2018</v>
      </c>
      <c r="O183" s="38">
        <v>2019</v>
      </c>
      <c r="P183" s="38">
        <v>2020</v>
      </c>
      <c r="Q183" s="38">
        <v>2021</v>
      </c>
      <c r="R183" s="38">
        <v>2022</v>
      </c>
      <c r="S183" s="38">
        <v>2023</v>
      </c>
      <c r="T183" s="38">
        <v>2024</v>
      </c>
    </row>
    <row r="184" spans="1:20" x14ac:dyDescent="0.25">
      <c r="A184" s="121">
        <v>10</v>
      </c>
      <c r="B184" s="67" t="s">
        <v>128</v>
      </c>
      <c r="C184" s="41" t="s">
        <v>62</v>
      </c>
      <c r="D184" s="41" t="s">
        <v>62</v>
      </c>
      <c r="E184" s="16" t="s">
        <v>62</v>
      </c>
      <c r="F184" s="16" t="s">
        <v>62</v>
      </c>
      <c r="G184" s="16" t="s">
        <v>62</v>
      </c>
      <c r="H184" s="16" t="s">
        <v>62</v>
      </c>
      <c r="I184" s="16" t="s">
        <v>62</v>
      </c>
      <c r="J184" s="16" t="s">
        <v>62</v>
      </c>
      <c r="K184" s="16" t="s">
        <v>62</v>
      </c>
      <c r="L184" s="16" t="s">
        <v>62</v>
      </c>
      <c r="M184" s="16" t="s">
        <v>62</v>
      </c>
      <c r="N184" s="16" t="s">
        <v>62</v>
      </c>
      <c r="O184" s="16" t="s">
        <v>62</v>
      </c>
      <c r="P184" s="16" t="s">
        <v>62</v>
      </c>
      <c r="Q184" s="62" t="s">
        <v>62</v>
      </c>
      <c r="R184" s="62">
        <v>0.6387096774193548</v>
      </c>
      <c r="S184" s="62">
        <v>0.62557077625570778</v>
      </c>
      <c r="T184" s="62">
        <v>0.60303687635574832</v>
      </c>
    </row>
    <row r="185" spans="1:20" x14ac:dyDescent="0.25">
      <c r="A185" s="121">
        <v>17</v>
      </c>
      <c r="B185" s="67" t="s">
        <v>123</v>
      </c>
      <c r="C185" s="41" t="s">
        <v>62</v>
      </c>
      <c r="D185" s="16" t="s">
        <v>62</v>
      </c>
      <c r="E185" s="16" t="s">
        <v>62</v>
      </c>
      <c r="F185" s="16" t="s">
        <v>62</v>
      </c>
      <c r="G185" s="16" t="s">
        <v>62</v>
      </c>
      <c r="H185" s="16" t="s">
        <v>62</v>
      </c>
      <c r="I185" s="16" t="s">
        <v>62</v>
      </c>
      <c r="J185" s="16" t="s">
        <v>62</v>
      </c>
      <c r="K185" s="16" t="s">
        <v>62</v>
      </c>
      <c r="L185" s="16" t="s">
        <v>62</v>
      </c>
      <c r="M185" s="16" t="s">
        <v>62</v>
      </c>
      <c r="N185" s="16" t="s">
        <v>62</v>
      </c>
      <c r="O185" s="16" t="s">
        <v>62</v>
      </c>
      <c r="P185" s="16" t="s">
        <v>62</v>
      </c>
      <c r="Q185" s="62" t="s">
        <v>62</v>
      </c>
      <c r="R185" s="62">
        <v>0.46031746031746029</v>
      </c>
      <c r="S185" s="62">
        <v>0.70329670329670335</v>
      </c>
      <c r="T185" s="62">
        <v>0.73170731707317072</v>
      </c>
    </row>
    <row r="186" spans="1:20" x14ac:dyDescent="0.25">
      <c r="A186" s="121">
        <v>19</v>
      </c>
      <c r="B186" s="67" t="s">
        <v>143</v>
      </c>
      <c r="C186" s="41">
        <v>0.53828483920367531</v>
      </c>
      <c r="D186" s="41">
        <v>0.4373401534526854</v>
      </c>
      <c r="E186" s="16">
        <v>0.60333642261353104</v>
      </c>
      <c r="F186" s="16">
        <v>0.66974358974358972</v>
      </c>
      <c r="G186" s="16">
        <v>0.59087452471482893</v>
      </c>
      <c r="H186" s="16">
        <v>0.57414248021108183</v>
      </c>
      <c r="I186" s="16">
        <v>0.48232521602513745</v>
      </c>
      <c r="J186" s="16">
        <v>0.47415185783521807</v>
      </c>
      <c r="K186" s="16">
        <v>0.55079681274900394</v>
      </c>
      <c r="L186" s="16">
        <v>0.56007944389275077</v>
      </c>
      <c r="M186" s="16">
        <v>0.52635599694423219</v>
      </c>
      <c r="N186" s="16">
        <v>0.60869565217391308</v>
      </c>
      <c r="O186" s="16">
        <v>0.55319148936170215</v>
      </c>
      <c r="P186" s="16">
        <v>0.62824956672443677</v>
      </c>
      <c r="Q186" s="62">
        <v>0.71128107074569791</v>
      </c>
      <c r="R186" s="62">
        <v>0.63297431648715829</v>
      </c>
      <c r="S186" s="62">
        <v>0.65921288014311274</v>
      </c>
      <c r="T186" s="62">
        <v>0.66030534351145043</v>
      </c>
    </row>
    <row r="187" spans="1:20" x14ac:dyDescent="0.25">
      <c r="A187" s="121">
        <v>46</v>
      </c>
      <c r="B187" s="67" t="s">
        <v>151</v>
      </c>
      <c r="C187" s="41">
        <v>0.46666666666666667</v>
      </c>
      <c r="D187" s="16">
        <v>0.52694610778443118</v>
      </c>
      <c r="E187" s="16">
        <v>0.3258365331870543</v>
      </c>
      <c r="F187" s="16">
        <v>0.72040636042402828</v>
      </c>
      <c r="G187" s="16">
        <v>0.61564625850340138</v>
      </c>
      <c r="H187" s="16">
        <v>0.64369985842378485</v>
      </c>
      <c r="I187" s="16">
        <v>0.68273866923818705</v>
      </c>
      <c r="J187" s="16">
        <v>0.55751533742331283</v>
      </c>
      <c r="K187" s="16">
        <v>0.54916317991631802</v>
      </c>
      <c r="L187" s="16">
        <v>0.57867132867132864</v>
      </c>
      <c r="M187" s="16">
        <v>0.52724358974358976</v>
      </c>
      <c r="N187" s="16">
        <v>0.55382215288611547</v>
      </c>
      <c r="O187" s="16">
        <v>0.60934891485809684</v>
      </c>
      <c r="P187" s="16">
        <v>0.55764705882352938</v>
      </c>
      <c r="Q187" s="62">
        <v>0.59698275862068961</v>
      </c>
      <c r="R187" s="62">
        <v>0.60230547550432278</v>
      </c>
      <c r="S187" s="62">
        <v>0.5</v>
      </c>
      <c r="T187" s="62">
        <v>0.58441558441558439</v>
      </c>
    </row>
    <row r="188" spans="1:20" x14ac:dyDescent="0.25">
      <c r="A188" s="121">
        <v>71</v>
      </c>
      <c r="B188" s="67" t="s">
        <v>138</v>
      </c>
      <c r="C188" s="16" t="s">
        <v>62</v>
      </c>
      <c r="D188" s="16">
        <v>0.91176470588235292</v>
      </c>
      <c r="E188" s="16">
        <v>0.81818181818181823</v>
      </c>
      <c r="F188" s="16">
        <v>0.67741935483870963</v>
      </c>
      <c r="G188" s="16">
        <v>0.70666666666666667</v>
      </c>
      <c r="H188" s="16">
        <v>0.75294117647058822</v>
      </c>
      <c r="I188" s="16">
        <v>0.79268292682926833</v>
      </c>
      <c r="J188" s="16">
        <v>0.80487804878048785</v>
      </c>
      <c r="K188" s="16">
        <v>0.77142857142857146</v>
      </c>
      <c r="L188" s="16">
        <v>0.81081081081081086</v>
      </c>
      <c r="M188" s="16">
        <v>0.7857142857142857</v>
      </c>
      <c r="N188" s="16">
        <v>0.64197530864197527</v>
      </c>
      <c r="O188" s="16">
        <v>0.79591836734693877</v>
      </c>
      <c r="P188" s="16">
        <v>0.83076923076923082</v>
      </c>
      <c r="Q188" s="62">
        <v>0.83333333333333337</v>
      </c>
      <c r="R188" s="62">
        <v>0.5714285714285714</v>
      </c>
      <c r="S188" s="62">
        <v>0.8</v>
      </c>
      <c r="T188" s="62">
        <v>0.9285714285714286</v>
      </c>
    </row>
    <row r="189" spans="1:20" x14ac:dyDescent="0.25">
      <c r="A189" s="121">
        <v>73</v>
      </c>
      <c r="B189" s="67" t="s">
        <v>150</v>
      </c>
      <c r="C189" s="41" t="s">
        <v>62</v>
      </c>
      <c r="D189" s="41" t="s">
        <v>62</v>
      </c>
      <c r="E189" s="41">
        <v>0.62222222222222223</v>
      </c>
      <c r="F189" s="41">
        <v>0.7</v>
      </c>
      <c r="G189" s="41">
        <v>0.65263157894736845</v>
      </c>
      <c r="H189" s="41">
        <v>0.65346534653465349</v>
      </c>
      <c r="I189" s="41">
        <v>0.71604938271604934</v>
      </c>
      <c r="J189" s="41">
        <v>0.72941176470588232</v>
      </c>
      <c r="K189" s="16">
        <v>0.69811320754716977</v>
      </c>
      <c r="L189" s="16">
        <v>0.76666666666666672</v>
      </c>
      <c r="M189" s="16">
        <v>0.78490566037735854</v>
      </c>
      <c r="N189" s="16">
        <v>0.79651162790697672</v>
      </c>
      <c r="O189" s="16">
        <v>0.82534246575342463</v>
      </c>
      <c r="P189" s="16">
        <v>0.86956521739130432</v>
      </c>
      <c r="Q189" s="62">
        <v>0.82170542635658916</v>
      </c>
      <c r="R189" s="62">
        <v>0.79844961240310075</v>
      </c>
      <c r="S189" s="62">
        <v>0.77872340425531916</v>
      </c>
      <c r="T189" s="62">
        <v>0.78389830508474578</v>
      </c>
    </row>
    <row r="190" spans="1:20" x14ac:dyDescent="0.25">
      <c r="A190" s="121">
        <v>76</v>
      </c>
      <c r="B190" s="67" t="s">
        <v>145</v>
      </c>
      <c r="C190" s="16" t="s">
        <v>62</v>
      </c>
      <c r="D190" s="16" t="s">
        <v>62</v>
      </c>
      <c r="E190" s="16" t="s">
        <v>62</v>
      </c>
      <c r="F190" s="16" t="s">
        <v>62</v>
      </c>
      <c r="G190" s="16" t="s">
        <v>62</v>
      </c>
      <c r="H190" s="16" t="s">
        <v>62</v>
      </c>
      <c r="I190" s="16" t="s">
        <v>62</v>
      </c>
      <c r="J190" s="16">
        <v>0.97590361445783136</v>
      </c>
      <c r="K190" s="16">
        <v>0.76</v>
      </c>
      <c r="L190" s="16">
        <v>0.75789473684210529</v>
      </c>
      <c r="M190" s="16">
        <v>0.72448979591836737</v>
      </c>
      <c r="N190" s="16">
        <v>0.83</v>
      </c>
      <c r="O190" s="16">
        <v>0.79120879120879117</v>
      </c>
      <c r="P190" s="16">
        <v>0.83950617283950613</v>
      </c>
      <c r="Q190" s="62">
        <v>0.75824175824175821</v>
      </c>
      <c r="R190" s="62">
        <v>0.84269662921348309</v>
      </c>
      <c r="S190" s="62">
        <v>0.86046511627906974</v>
      </c>
      <c r="T190" s="62">
        <v>0.81609195402298851</v>
      </c>
    </row>
    <row r="191" spans="1:20" x14ac:dyDescent="0.25">
      <c r="A191" s="121">
        <v>77</v>
      </c>
      <c r="B191" s="67" t="s">
        <v>140</v>
      </c>
      <c r="C191" s="16">
        <v>0.57190635451505012</v>
      </c>
      <c r="D191" s="41">
        <v>0.59405940594059403</v>
      </c>
      <c r="E191" s="16">
        <v>0.62116040955631402</v>
      </c>
      <c r="F191" s="16">
        <v>0.60596026490066224</v>
      </c>
      <c r="G191" s="16">
        <v>0.6</v>
      </c>
      <c r="H191" s="16">
        <v>0.70358306188925079</v>
      </c>
      <c r="I191" s="16">
        <v>0.64075630252100846</v>
      </c>
      <c r="J191" s="16">
        <v>0.63593750000000004</v>
      </c>
      <c r="K191" s="16">
        <v>0.69701986754966883</v>
      </c>
      <c r="L191" s="16">
        <v>0.67903525046382185</v>
      </c>
      <c r="M191" s="16">
        <v>0.66666666666666663</v>
      </c>
      <c r="N191" s="16">
        <v>0.58167330677290841</v>
      </c>
      <c r="O191" s="16">
        <v>0.60046728971962615</v>
      </c>
      <c r="P191" s="16">
        <v>0.71142857142857141</v>
      </c>
      <c r="Q191" s="62">
        <v>0.65598290598290598</v>
      </c>
      <c r="R191" s="62">
        <v>0.61988304093567248</v>
      </c>
      <c r="S191" s="62">
        <v>0.63880597014925378</v>
      </c>
      <c r="T191" s="62">
        <v>0.6467065868263473</v>
      </c>
    </row>
    <row r="192" spans="1:20" x14ac:dyDescent="0.25">
      <c r="A192" s="121">
        <v>78</v>
      </c>
      <c r="B192" s="67" t="s">
        <v>137</v>
      </c>
      <c r="C192" s="16" t="s">
        <v>62</v>
      </c>
      <c r="D192" s="16" t="s">
        <v>62</v>
      </c>
      <c r="E192" s="16">
        <v>0.78181818181818186</v>
      </c>
      <c r="F192" s="16">
        <v>0.72941176470588232</v>
      </c>
      <c r="G192" s="16">
        <v>0.65277777777777779</v>
      </c>
      <c r="H192" s="16">
        <v>0.81632653061224492</v>
      </c>
      <c r="I192" s="16">
        <v>0.74603174603174605</v>
      </c>
      <c r="J192" s="16">
        <v>0.81208053691275173</v>
      </c>
      <c r="K192" s="16">
        <v>0.64885496183206104</v>
      </c>
      <c r="L192" s="16">
        <v>0.74561403508771928</v>
      </c>
      <c r="M192" s="16">
        <v>0.72</v>
      </c>
      <c r="N192" s="16">
        <v>0.71962616822429903</v>
      </c>
      <c r="O192" s="16">
        <v>0.57731958762886593</v>
      </c>
      <c r="P192" s="16">
        <v>0.53398058252427183</v>
      </c>
      <c r="Q192" s="62">
        <v>0.52777777777777779</v>
      </c>
      <c r="R192" s="62" t="s">
        <v>62</v>
      </c>
      <c r="S192" s="62">
        <v>0.66055045871559637</v>
      </c>
      <c r="T192" s="62">
        <v>0.65979381443298968</v>
      </c>
    </row>
    <row r="193" spans="1:20" x14ac:dyDescent="0.25">
      <c r="A193" s="121">
        <v>79</v>
      </c>
      <c r="B193" s="67" t="s">
        <v>148</v>
      </c>
      <c r="C193" s="41">
        <v>0.81914893617021278</v>
      </c>
      <c r="D193" s="41">
        <v>0.36059479553903345</v>
      </c>
      <c r="E193" s="16">
        <v>0.87356321839080464</v>
      </c>
      <c r="F193" s="16">
        <v>0.53793103448275859</v>
      </c>
      <c r="G193" s="16">
        <v>0.44759206798866857</v>
      </c>
      <c r="H193" s="16">
        <v>0.53521126760563376</v>
      </c>
      <c r="I193" s="16">
        <v>0.55388813096862211</v>
      </c>
      <c r="J193" s="16">
        <v>0.4154057771664374</v>
      </c>
      <c r="K193" s="16">
        <v>0.62329803328290467</v>
      </c>
      <c r="L193" s="16">
        <v>0.68706697459584298</v>
      </c>
      <c r="M193" s="16">
        <v>0.68237704918032782</v>
      </c>
      <c r="N193" s="16">
        <v>0.67334035827186511</v>
      </c>
      <c r="O193" s="16">
        <v>0.59825327510917026</v>
      </c>
      <c r="P193" s="16">
        <v>0.68525402726146223</v>
      </c>
      <c r="Q193" s="62">
        <v>0.69349112426035497</v>
      </c>
      <c r="R193" s="62">
        <v>0.65793528505392918</v>
      </c>
      <c r="S193" s="62">
        <v>0.68489583333333337</v>
      </c>
      <c r="T193" s="62">
        <v>0.69963369963369959</v>
      </c>
    </row>
    <row r="194" spans="1:20" x14ac:dyDescent="0.25">
      <c r="A194" s="121">
        <v>81</v>
      </c>
      <c r="B194" s="67" t="s">
        <v>160</v>
      </c>
      <c r="C194" s="41">
        <v>0.50622406639004147</v>
      </c>
      <c r="D194" s="41" t="s">
        <v>62</v>
      </c>
      <c r="E194" s="16">
        <v>0.53615960099750626</v>
      </c>
      <c r="F194" s="16">
        <v>0.54252873563218396</v>
      </c>
      <c r="G194" s="16">
        <v>0.50260416666666663</v>
      </c>
      <c r="H194" s="16">
        <v>0.57879490150637314</v>
      </c>
      <c r="I194" s="16">
        <v>0.52280364858377337</v>
      </c>
      <c r="J194" s="16">
        <v>0.5837390457643622</v>
      </c>
      <c r="K194" s="16">
        <v>0.55182774161241865</v>
      </c>
      <c r="L194" s="16">
        <v>0.67201604814443328</v>
      </c>
      <c r="M194" s="16">
        <v>0.68012752391073328</v>
      </c>
      <c r="N194" s="16">
        <v>0.71186440677966101</v>
      </c>
      <c r="O194" s="16">
        <v>0.68123739071956957</v>
      </c>
      <c r="P194" s="16">
        <v>0.61994609164420489</v>
      </c>
      <c r="Q194" s="62">
        <v>0.66525871172122497</v>
      </c>
      <c r="R194" s="62">
        <v>0.66273584905660377</v>
      </c>
      <c r="S194" s="62">
        <v>0.68553459119496851</v>
      </c>
      <c r="T194" s="62">
        <v>0.7021276595744681</v>
      </c>
    </row>
    <row r="195" spans="1:20" x14ac:dyDescent="0.25">
      <c r="A195" s="121">
        <v>83</v>
      </c>
      <c r="B195" s="67" t="s">
        <v>139</v>
      </c>
      <c r="C195" s="16">
        <v>0.67391304347826086</v>
      </c>
      <c r="D195" s="16">
        <v>0.58823529411764708</v>
      </c>
      <c r="E195" s="41">
        <v>0.72</v>
      </c>
      <c r="F195" s="41">
        <v>0.61290322580645162</v>
      </c>
      <c r="G195" s="41">
        <v>0.62295081967213117</v>
      </c>
      <c r="H195" s="41">
        <v>0.63909774436090228</v>
      </c>
      <c r="I195" s="41">
        <v>0.66233766233766234</v>
      </c>
      <c r="J195" s="41">
        <v>0.65019011406844107</v>
      </c>
      <c r="K195" s="16">
        <v>0.57963446475195823</v>
      </c>
      <c r="L195" s="16">
        <v>0.67590618336886998</v>
      </c>
      <c r="M195" s="16">
        <v>0.72294372294372289</v>
      </c>
      <c r="N195" s="16">
        <v>0.75694444444444442</v>
      </c>
      <c r="O195" s="16">
        <v>0.70588235294117652</v>
      </c>
      <c r="P195" s="16">
        <v>0.80882352941176472</v>
      </c>
      <c r="Q195" s="62">
        <v>0.73076923076923073</v>
      </c>
      <c r="R195" s="62">
        <v>0.69154228855721389</v>
      </c>
      <c r="S195" s="62">
        <v>0.73743016759776536</v>
      </c>
      <c r="T195" s="62">
        <v>0.75433526011560692</v>
      </c>
    </row>
    <row r="196" spans="1:20" x14ac:dyDescent="0.25">
      <c r="A196" s="121">
        <v>84</v>
      </c>
      <c r="B196" s="67" t="s">
        <v>141</v>
      </c>
      <c r="C196" s="16">
        <v>0.81818181818181823</v>
      </c>
      <c r="D196" s="16">
        <v>0.59097525473071322</v>
      </c>
      <c r="E196" s="41">
        <v>0.67180925666199154</v>
      </c>
      <c r="F196" s="41">
        <v>0.63105590062111805</v>
      </c>
      <c r="G196" s="41">
        <v>0.65166666666666662</v>
      </c>
      <c r="H196" s="41">
        <v>0.65106071689831746</v>
      </c>
      <c r="I196" s="41">
        <v>0.68105065666041276</v>
      </c>
      <c r="J196" s="41">
        <v>0.671875</v>
      </c>
      <c r="K196" s="16">
        <v>0.69377990430622005</v>
      </c>
      <c r="L196" s="16">
        <v>0.77217015140591205</v>
      </c>
      <c r="M196" s="16">
        <v>0.75638371290545203</v>
      </c>
      <c r="N196" s="16">
        <v>0.76800606520090975</v>
      </c>
      <c r="O196" s="16">
        <v>0.77943925233644862</v>
      </c>
      <c r="P196" s="16">
        <v>0.772823779193206</v>
      </c>
      <c r="Q196" s="62">
        <v>0.74479166666666663</v>
      </c>
      <c r="R196" s="62">
        <v>0.73297872340425529</v>
      </c>
      <c r="S196" s="62">
        <v>0.75649350649350644</v>
      </c>
      <c r="T196" s="62">
        <v>0.7564469914040115</v>
      </c>
    </row>
    <row r="197" spans="1:20" x14ac:dyDescent="0.25">
      <c r="A197" s="121">
        <v>85</v>
      </c>
      <c r="B197" s="67" t="s">
        <v>121</v>
      </c>
      <c r="C197" s="16">
        <v>0.20770877944325483</v>
      </c>
      <c r="D197" s="16">
        <v>0.62264150943396224</v>
      </c>
      <c r="E197" s="41">
        <v>0.7441860465116279</v>
      </c>
      <c r="F197" s="41">
        <v>0.62857142857142856</v>
      </c>
      <c r="G197" s="41">
        <v>0.7857142857142857</v>
      </c>
      <c r="H197" s="41">
        <v>0.75</v>
      </c>
      <c r="I197" s="41">
        <v>0.80769230769230771</v>
      </c>
      <c r="J197" s="41">
        <v>0.7142857142857143</v>
      </c>
      <c r="K197" s="16">
        <v>0.88636363636363635</v>
      </c>
      <c r="L197" s="16">
        <v>0.8035714285714286</v>
      </c>
      <c r="M197" s="16">
        <v>0.7142857142857143</v>
      </c>
      <c r="N197" s="16">
        <v>0.75</v>
      </c>
      <c r="O197" s="16">
        <v>0.9</v>
      </c>
      <c r="P197" s="16">
        <v>0.75</v>
      </c>
      <c r="Q197" s="62">
        <v>0.76923076923076927</v>
      </c>
      <c r="R197" s="62">
        <v>0.8571428571428571</v>
      </c>
      <c r="S197" s="62">
        <v>0.94736842105263153</v>
      </c>
      <c r="T197" s="62">
        <v>0.81818181818181823</v>
      </c>
    </row>
    <row r="198" spans="1:20" x14ac:dyDescent="0.25">
      <c r="A198" s="121">
        <v>88</v>
      </c>
      <c r="B198" s="67" t="s">
        <v>122</v>
      </c>
      <c r="C198" s="41">
        <v>0.83090909090909093</v>
      </c>
      <c r="D198" s="16">
        <v>0.78717201166180761</v>
      </c>
      <c r="E198" s="16">
        <v>0.81509121061359868</v>
      </c>
      <c r="F198" s="16">
        <v>0.78010471204188481</v>
      </c>
      <c r="G198" s="16">
        <v>0.75273865414710484</v>
      </c>
      <c r="H198" s="16">
        <v>0.81796690307328601</v>
      </c>
      <c r="I198" s="16">
        <v>0.78809523809523807</v>
      </c>
      <c r="J198" s="16">
        <v>0.80615640599001659</v>
      </c>
      <c r="K198" s="16">
        <v>0.75435684647302903</v>
      </c>
      <c r="L198" s="16">
        <v>0.79008264462809918</v>
      </c>
      <c r="M198" s="16">
        <v>0.74742676167854316</v>
      </c>
      <c r="N198" s="16">
        <v>0.74669774669774669</v>
      </c>
      <c r="O198" s="16">
        <v>0.7434743474347435</v>
      </c>
      <c r="P198" s="16">
        <v>0.79497098646034814</v>
      </c>
      <c r="Q198" s="62">
        <v>0.76026392961876832</v>
      </c>
      <c r="R198" s="62">
        <v>0.67657992565055758</v>
      </c>
      <c r="S198" s="62">
        <v>0.66900420757363255</v>
      </c>
      <c r="T198" s="62">
        <v>0.69581190301249085</v>
      </c>
    </row>
    <row r="199" spans="1:20" x14ac:dyDescent="0.25">
      <c r="A199" s="121">
        <v>90</v>
      </c>
      <c r="B199" s="67" t="s">
        <v>159</v>
      </c>
      <c r="C199" s="41" t="s">
        <v>62</v>
      </c>
      <c r="D199" s="41" t="s">
        <v>62</v>
      </c>
      <c r="E199" s="16" t="s">
        <v>62</v>
      </c>
      <c r="F199" s="16" t="s">
        <v>62</v>
      </c>
      <c r="G199" s="16" t="s">
        <v>62</v>
      </c>
      <c r="H199" s="16">
        <v>0.81967213114754101</v>
      </c>
      <c r="I199" s="16">
        <v>0.48101265822784811</v>
      </c>
      <c r="J199" s="16">
        <v>0.71052631578947367</v>
      </c>
      <c r="K199" s="16">
        <v>0.66013071895424835</v>
      </c>
      <c r="L199" s="16">
        <v>0.745</v>
      </c>
      <c r="M199" s="16">
        <v>0.68</v>
      </c>
      <c r="N199" s="16">
        <v>0.73648648648648651</v>
      </c>
      <c r="O199" s="16">
        <v>0.65925925925925921</v>
      </c>
      <c r="P199" s="16">
        <v>0.64331210191082799</v>
      </c>
      <c r="Q199" s="62">
        <v>0.58870967741935487</v>
      </c>
      <c r="R199" s="62">
        <v>0.64655172413793105</v>
      </c>
      <c r="S199" s="62">
        <v>0.70940170940170943</v>
      </c>
      <c r="T199" s="62">
        <v>0.66666666666666663</v>
      </c>
    </row>
    <row r="200" spans="1:20" x14ac:dyDescent="0.25">
      <c r="A200" s="121">
        <v>93</v>
      </c>
      <c r="B200" s="67" t="s">
        <v>156</v>
      </c>
      <c r="C200" s="16" t="s">
        <v>62</v>
      </c>
      <c r="D200" s="16">
        <v>0.61181434599156115</v>
      </c>
      <c r="E200" s="16">
        <v>0.73913043478260865</v>
      </c>
      <c r="F200" s="16">
        <v>0.81904761904761902</v>
      </c>
      <c r="G200" s="16">
        <v>0.67679558011049723</v>
      </c>
      <c r="H200" s="16">
        <v>0.71231527093596059</v>
      </c>
      <c r="I200" s="16">
        <v>0.70989010989010992</v>
      </c>
      <c r="J200" s="16">
        <v>0.75369886858137514</v>
      </c>
      <c r="K200" s="16">
        <v>0.73866446826051113</v>
      </c>
      <c r="L200" s="16">
        <v>0.82260479041916168</v>
      </c>
      <c r="M200" s="16">
        <v>0.81416549789621318</v>
      </c>
      <c r="N200" s="16">
        <v>0.78239903556359247</v>
      </c>
      <c r="O200" s="16">
        <v>0.77519379844961245</v>
      </c>
      <c r="P200" s="16">
        <v>0.72855464159811989</v>
      </c>
      <c r="Q200" s="62">
        <v>0.6789272030651341</v>
      </c>
      <c r="R200" s="62">
        <v>0.70370370370370372</v>
      </c>
      <c r="S200" s="62">
        <v>0.72330097087378642</v>
      </c>
      <c r="T200" s="62">
        <v>0.65209359605911332</v>
      </c>
    </row>
    <row r="201" spans="1:20" x14ac:dyDescent="0.25">
      <c r="A201" s="121">
        <v>94</v>
      </c>
      <c r="B201" s="67" t="s">
        <v>155</v>
      </c>
      <c r="C201" s="16">
        <v>0.82758620689655171</v>
      </c>
      <c r="D201" s="16">
        <v>0.72</v>
      </c>
      <c r="E201" s="16">
        <v>0.66666666666666663</v>
      </c>
      <c r="F201" s="16">
        <v>0.9</v>
      </c>
      <c r="G201" s="16" t="s">
        <v>62</v>
      </c>
      <c r="H201" s="16">
        <v>0.54545454545454541</v>
      </c>
      <c r="I201" s="16">
        <v>0.76305220883534142</v>
      </c>
      <c r="J201" s="16">
        <v>0.77595628415300544</v>
      </c>
      <c r="K201" s="16">
        <v>0.76666666666666672</v>
      </c>
      <c r="L201" s="16">
        <v>0.76842105263157889</v>
      </c>
      <c r="M201" s="16">
        <v>0.83673469387755106</v>
      </c>
      <c r="N201" s="16">
        <v>0.79094827586206895</v>
      </c>
      <c r="O201" s="16">
        <v>0.83941605839416056</v>
      </c>
      <c r="P201" s="16">
        <v>0.6675126903553299</v>
      </c>
      <c r="Q201" s="62">
        <v>0.78306878306878303</v>
      </c>
      <c r="R201" s="62">
        <v>0.84782608695652173</v>
      </c>
      <c r="S201" s="62" t="s">
        <v>62</v>
      </c>
      <c r="T201" s="62">
        <v>0.76651982378854622</v>
      </c>
    </row>
    <row r="202" spans="1:20" x14ac:dyDescent="0.25">
      <c r="A202" s="149" t="s">
        <v>402</v>
      </c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</row>
    <row r="203" spans="1:20" x14ac:dyDescent="0.25">
      <c r="A203" s="66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</row>
    <row r="204" spans="1:20" ht="18" x14ac:dyDescent="0.25">
      <c r="A204" s="68" t="s">
        <v>466</v>
      </c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</row>
    <row r="205" spans="1:20" ht="30" customHeight="1" x14ac:dyDescent="0.25">
      <c r="A205" s="39" t="s">
        <v>339</v>
      </c>
      <c r="B205" s="39" t="s">
        <v>409</v>
      </c>
      <c r="C205" s="38">
        <v>2007</v>
      </c>
      <c r="D205" s="38">
        <v>2008</v>
      </c>
      <c r="E205" s="38">
        <v>2009</v>
      </c>
      <c r="F205" s="38">
        <v>2010</v>
      </c>
      <c r="G205" s="38">
        <v>2011</v>
      </c>
      <c r="H205" s="38">
        <v>2012</v>
      </c>
      <c r="I205" s="38">
        <v>2013</v>
      </c>
      <c r="J205" s="38">
        <v>2014</v>
      </c>
      <c r="K205" s="38">
        <v>2015</v>
      </c>
      <c r="L205" s="38">
        <v>2016</v>
      </c>
      <c r="M205" s="38">
        <v>2017</v>
      </c>
      <c r="N205" s="38">
        <v>2018</v>
      </c>
      <c r="O205" s="38">
        <v>2019</v>
      </c>
      <c r="P205" s="38">
        <v>2020</v>
      </c>
      <c r="Q205" s="38">
        <v>2021</v>
      </c>
      <c r="R205" s="38">
        <v>2022</v>
      </c>
      <c r="S205" s="38">
        <v>2023</v>
      </c>
      <c r="T205" s="38">
        <v>2024</v>
      </c>
    </row>
    <row r="206" spans="1:20" x14ac:dyDescent="0.25">
      <c r="A206" s="121">
        <v>1</v>
      </c>
      <c r="B206" s="67" t="s">
        <v>129</v>
      </c>
      <c r="C206" s="16">
        <v>0.71604938271604934</v>
      </c>
      <c r="D206" s="16" t="s">
        <v>62</v>
      </c>
      <c r="E206" s="16" t="s">
        <v>62</v>
      </c>
      <c r="F206" s="16" t="s">
        <v>62</v>
      </c>
      <c r="G206" s="16" t="s">
        <v>62</v>
      </c>
      <c r="H206" s="16" t="s">
        <v>62</v>
      </c>
      <c r="I206" s="16">
        <v>0.67672413793103448</v>
      </c>
      <c r="J206" s="16">
        <v>0.61417322834645671</v>
      </c>
      <c r="K206" s="16">
        <v>0.72093023255813948</v>
      </c>
      <c r="L206" s="16">
        <v>0.71830985915492962</v>
      </c>
      <c r="M206" s="16">
        <v>0.76719576719576721</v>
      </c>
      <c r="N206" s="16">
        <v>0.65384615384615385</v>
      </c>
      <c r="O206" s="16">
        <v>0.60869565217391308</v>
      </c>
      <c r="P206" s="16">
        <v>0.74509803921568629</v>
      </c>
      <c r="Q206" s="62">
        <v>0.6495726495726496</v>
      </c>
      <c r="R206" s="62">
        <v>0.68722466960352424</v>
      </c>
      <c r="S206" s="62">
        <v>0.83627204030226698</v>
      </c>
      <c r="T206" s="62">
        <v>0.87167070217917675</v>
      </c>
    </row>
    <row r="207" spans="1:20" x14ac:dyDescent="0.25">
      <c r="A207" s="121">
        <v>2</v>
      </c>
      <c r="B207" s="67" t="s">
        <v>130</v>
      </c>
      <c r="C207" s="16">
        <v>0.75060240963855418</v>
      </c>
      <c r="D207" s="16">
        <v>0.75699745547073793</v>
      </c>
      <c r="E207" s="16">
        <v>0.77288528389339517</v>
      </c>
      <c r="F207" s="16">
        <v>0.79794871794871791</v>
      </c>
      <c r="G207" s="16">
        <v>0.79572446555819476</v>
      </c>
      <c r="H207" s="16">
        <v>0.80802792321116923</v>
      </c>
      <c r="I207" s="16">
        <v>0.81706244503078274</v>
      </c>
      <c r="J207" s="16">
        <v>0.84602368866328259</v>
      </c>
      <c r="K207" s="16">
        <v>0.8265449438202247</v>
      </c>
      <c r="L207" s="16">
        <v>0.82174167153711275</v>
      </c>
      <c r="M207" s="16">
        <v>0.84853905784138339</v>
      </c>
      <c r="N207" s="16">
        <v>0.81375203031943688</v>
      </c>
      <c r="O207" s="16">
        <v>0.82097748489840749</v>
      </c>
      <c r="P207" s="16">
        <v>0.86895051658510059</v>
      </c>
      <c r="Q207" s="62">
        <v>0.83065769031589853</v>
      </c>
      <c r="R207" s="62">
        <v>0.80989180834621333</v>
      </c>
      <c r="S207" s="62">
        <v>0.82842205323193918</v>
      </c>
      <c r="T207" s="62">
        <v>0.83462657613967017</v>
      </c>
    </row>
    <row r="208" spans="1:20" x14ac:dyDescent="0.25">
      <c r="A208" s="121">
        <v>3</v>
      </c>
      <c r="B208" s="67" t="s">
        <v>131</v>
      </c>
      <c r="C208" s="16">
        <v>0.74481396114586762</v>
      </c>
      <c r="D208" s="16">
        <v>0.79520999652898294</v>
      </c>
      <c r="E208" s="16">
        <v>0.81709344861988698</v>
      </c>
      <c r="F208" s="16">
        <v>0.83434704830053663</v>
      </c>
      <c r="G208" s="16">
        <v>0.81859070464767614</v>
      </c>
      <c r="H208" s="16">
        <v>0.84056857472147517</v>
      </c>
      <c r="I208" s="16">
        <v>0.83040330920372285</v>
      </c>
      <c r="J208" s="16">
        <v>0.829657278588395</v>
      </c>
      <c r="K208" s="16">
        <v>0.83727211343686703</v>
      </c>
      <c r="L208" s="16">
        <v>0.82510795805058601</v>
      </c>
      <c r="M208" s="16">
        <v>0.85888610763454321</v>
      </c>
      <c r="N208" s="16">
        <v>0.82682563338301041</v>
      </c>
      <c r="O208" s="16">
        <v>0.82383569568990456</v>
      </c>
      <c r="P208" s="16">
        <v>0.885322530383297</v>
      </c>
      <c r="Q208" s="62">
        <v>0.85490909090909095</v>
      </c>
      <c r="R208" s="62">
        <v>0.88053553038105048</v>
      </c>
      <c r="S208" s="62">
        <v>0.87348206721265176</v>
      </c>
      <c r="T208" s="62">
        <v>0.89961283185840712</v>
      </c>
    </row>
    <row r="209" spans="1:20" x14ac:dyDescent="0.25">
      <c r="A209" s="121">
        <v>4</v>
      </c>
      <c r="B209" s="67" t="s">
        <v>152</v>
      </c>
      <c r="C209" s="16">
        <v>0.78306878306878303</v>
      </c>
      <c r="D209" s="16">
        <v>0.73330384785493141</v>
      </c>
      <c r="E209" s="16">
        <v>0.7662116040955631</v>
      </c>
      <c r="F209" s="16">
        <v>0.82755515533543444</v>
      </c>
      <c r="G209" s="16">
        <v>0.76762896355892096</v>
      </c>
      <c r="H209" s="16">
        <v>0.7711624139327663</v>
      </c>
      <c r="I209" s="16">
        <v>0.77665180381029586</v>
      </c>
      <c r="J209" s="16">
        <v>0.8086816720257235</v>
      </c>
      <c r="K209" s="16">
        <v>0.78823529411764703</v>
      </c>
      <c r="L209" s="16">
        <v>0.79940711462450598</v>
      </c>
      <c r="M209" s="16">
        <v>0.85073170731707315</v>
      </c>
      <c r="N209" s="16">
        <v>0.82730752871118673</v>
      </c>
      <c r="O209" s="16">
        <v>0.81996512641673935</v>
      </c>
      <c r="P209" s="16">
        <v>0.86578546009150992</v>
      </c>
      <c r="Q209" s="62">
        <v>0.82935153583617749</v>
      </c>
      <c r="R209" s="62">
        <v>0.8073248407643312</v>
      </c>
      <c r="S209" s="62">
        <v>0.85858585858585856</v>
      </c>
      <c r="T209" s="62">
        <v>0.8841974542067681</v>
      </c>
    </row>
    <row r="210" spans="1:20" x14ac:dyDescent="0.25">
      <c r="A210" s="121">
        <v>9</v>
      </c>
      <c r="B210" s="67" t="s">
        <v>317</v>
      </c>
      <c r="C210" s="16">
        <v>0.51675257731958768</v>
      </c>
      <c r="D210" s="16">
        <v>0.29431929480901076</v>
      </c>
      <c r="E210" s="16">
        <v>0.52176470588235291</v>
      </c>
      <c r="F210" s="16">
        <v>0.68727392305162771</v>
      </c>
      <c r="G210" s="16">
        <v>0.7153827099331187</v>
      </c>
      <c r="H210" s="16">
        <v>0.55697190426638921</v>
      </c>
      <c r="I210" s="16">
        <v>0.61969439728353137</v>
      </c>
      <c r="J210" s="16">
        <v>0.63343717549325029</v>
      </c>
      <c r="K210" s="16">
        <v>0.7265795206971678</v>
      </c>
      <c r="L210" s="16">
        <v>0.6342769701606733</v>
      </c>
      <c r="M210" s="16">
        <v>0.62774829416224409</v>
      </c>
      <c r="N210" s="16">
        <v>0.5874799357945425</v>
      </c>
      <c r="O210" s="16">
        <v>0.56909239574816028</v>
      </c>
      <c r="P210" s="16">
        <v>0.63643410852713178</v>
      </c>
      <c r="Q210" s="62">
        <v>0.70665269774751183</v>
      </c>
      <c r="R210" s="62">
        <v>0.68346456692913382</v>
      </c>
      <c r="S210" s="62">
        <v>0.73852721451440773</v>
      </c>
      <c r="T210" s="62">
        <v>0.75480059084194973</v>
      </c>
    </row>
    <row r="211" spans="1:20" x14ac:dyDescent="0.25">
      <c r="A211" s="121">
        <v>10</v>
      </c>
      <c r="B211" s="67" t="s">
        <v>128</v>
      </c>
      <c r="C211" s="16">
        <v>0.66370933671313903</v>
      </c>
      <c r="D211" s="16">
        <v>0.80710973724884083</v>
      </c>
      <c r="E211" s="16">
        <v>0.85166561910747962</v>
      </c>
      <c r="F211" s="16">
        <v>0.85353185595567871</v>
      </c>
      <c r="G211" s="16">
        <v>0.84222661396574439</v>
      </c>
      <c r="H211" s="16">
        <v>0.83181299885974913</v>
      </c>
      <c r="I211" s="16">
        <v>0.79679705959569436</v>
      </c>
      <c r="J211" s="16">
        <v>0.76205861989383794</v>
      </c>
      <c r="K211" s="16">
        <v>0.76258649486995944</v>
      </c>
      <c r="L211" s="16">
        <v>0.78424396442185518</v>
      </c>
      <c r="M211" s="16">
        <v>0.80022478224220284</v>
      </c>
      <c r="N211" s="16">
        <v>0.81969351157482884</v>
      </c>
      <c r="O211" s="16">
        <v>0.83693337389717071</v>
      </c>
      <c r="P211" s="16">
        <v>0.88554771402270638</v>
      </c>
      <c r="Q211" s="62">
        <v>0.88295517432208082</v>
      </c>
      <c r="R211" s="62">
        <v>0.85637294529776342</v>
      </c>
      <c r="S211" s="62">
        <v>0.87264644351464438</v>
      </c>
      <c r="T211" s="62">
        <v>0.88055908513341807</v>
      </c>
    </row>
    <row r="212" spans="1:20" x14ac:dyDescent="0.25">
      <c r="A212" s="121">
        <v>11</v>
      </c>
      <c r="B212" s="67" t="s">
        <v>165</v>
      </c>
      <c r="C212" s="16">
        <v>0.77071823204419887</v>
      </c>
      <c r="D212" s="16">
        <v>0.50415512465373957</v>
      </c>
      <c r="E212" s="16">
        <v>0.7317351598173516</v>
      </c>
      <c r="F212" s="16">
        <v>0.74619883040935675</v>
      </c>
      <c r="G212" s="16">
        <v>0.69273743016759781</v>
      </c>
      <c r="H212" s="16">
        <v>0.69923664122137408</v>
      </c>
      <c r="I212" s="16">
        <v>0.68976897689768979</v>
      </c>
      <c r="J212" s="16">
        <v>0.74188311688311692</v>
      </c>
      <c r="K212" s="16">
        <v>0.66623207301173404</v>
      </c>
      <c r="L212" s="16">
        <v>0.69105691056910568</v>
      </c>
      <c r="M212" s="16">
        <v>0.65697674418604646</v>
      </c>
      <c r="N212" s="16">
        <v>0.76630434782608692</v>
      </c>
      <c r="O212" s="16">
        <v>0.76133651551312653</v>
      </c>
      <c r="P212" s="16">
        <v>0.75724637681159424</v>
      </c>
      <c r="Q212" s="62">
        <v>0.79041916167664672</v>
      </c>
      <c r="R212" s="62">
        <v>0.78500000000000003</v>
      </c>
      <c r="S212" s="62">
        <v>0.75540275049115913</v>
      </c>
      <c r="T212" s="62">
        <v>0.84005376344086025</v>
      </c>
    </row>
    <row r="213" spans="1:20" x14ac:dyDescent="0.25">
      <c r="A213" s="121">
        <v>13</v>
      </c>
      <c r="B213" s="67" t="s">
        <v>124</v>
      </c>
      <c r="C213" s="16">
        <v>0.81003302406038691</v>
      </c>
      <c r="D213" s="16">
        <v>0.80919743533053279</v>
      </c>
      <c r="E213" s="16">
        <v>0.85112703127730216</v>
      </c>
      <c r="F213" s="16">
        <v>0.81212484993997602</v>
      </c>
      <c r="G213" s="16">
        <v>0.7702782711663706</v>
      </c>
      <c r="H213" s="16">
        <v>0.79352801894238356</v>
      </c>
      <c r="I213" s="16">
        <v>0.73791935980301626</v>
      </c>
      <c r="J213" s="16">
        <v>0.75160450997398087</v>
      </c>
      <c r="K213" s="16">
        <v>0.76212832550860721</v>
      </c>
      <c r="L213" s="16">
        <v>0.75876194811106057</v>
      </c>
      <c r="M213" s="16">
        <v>0.77240788346186806</v>
      </c>
      <c r="N213" s="16">
        <v>0.77063679245283023</v>
      </c>
      <c r="O213" s="16">
        <v>0.7716087044946105</v>
      </c>
      <c r="P213" s="16">
        <v>0.84189995410738871</v>
      </c>
      <c r="Q213" s="62">
        <v>0.82748678519942331</v>
      </c>
      <c r="R213" s="62">
        <v>0.88698938276048223</v>
      </c>
      <c r="S213" s="62">
        <v>0.88113788729842357</v>
      </c>
      <c r="T213" s="62">
        <v>0.89375994343291498</v>
      </c>
    </row>
    <row r="214" spans="1:20" x14ac:dyDescent="0.25">
      <c r="A214" s="121">
        <v>17</v>
      </c>
      <c r="B214" s="67" t="s">
        <v>123</v>
      </c>
      <c r="C214" s="16">
        <v>0.70886075949367089</v>
      </c>
      <c r="D214" s="16">
        <v>0.65232163080407701</v>
      </c>
      <c r="E214" s="16">
        <v>0.64927536231884053</v>
      </c>
      <c r="F214" s="16">
        <v>0.70129870129870131</v>
      </c>
      <c r="G214" s="16">
        <v>0.60827586206896556</v>
      </c>
      <c r="H214" s="16">
        <v>0.600828729281768</v>
      </c>
      <c r="I214" s="16">
        <v>0.55689828801611274</v>
      </c>
      <c r="J214" s="16">
        <v>0.5533707865168539</v>
      </c>
      <c r="K214" s="16">
        <v>0.49778761061946902</v>
      </c>
      <c r="L214" s="16">
        <v>0.44570502431118314</v>
      </c>
      <c r="M214" s="16">
        <v>0.57603686635944695</v>
      </c>
      <c r="N214" s="16">
        <v>0.51027397260273977</v>
      </c>
      <c r="O214" s="16">
        <v>0.50498338870431891</v>
      </c>
      <c r="P214" s="16">
        <v>0.64489795918367343</v>
      </c>
      <c r="Q214" s="62">
        <v>0.69346733668341709</v>
      </c>
      <c r="R214" s="62">
        <v>0.66267465069860276</v>
      </c>
      <c r="S214" s="62">
        <v>0.70469798657718119</v>
      </c>
      <c r="T214" s="62">
        <v>0.63760683760683756</v>
      </c>
    </row>
    <row r="215" spans="1:20" x14ac:dyDescent="0.25">
      <c r="A215" s="121">
        <v>19</v>
      </c>
      <c r="B215" s="67" t="s">
        <v>143</v>
      </c>
      <c r="C215" s="16">
        <v>0.66780354706684852</v>
      </c>
      <c r="D215" s="16">
        <v>0.65975020145044316</v>
      </c>
      <c r="E215" s="16">
        <v>0.76873977086743039</v>
      </c>
      <c r="F215" s="16">
        <v>0.78939316675165727</v>
      </c>
      <c r="G215" s="16">
        <v>0.72618872368614751</v>
      </c>
      <c r="H215" s="16">
        <v>0.72848466893793518</v>
      </c>
      <c r="I215" s="16">
        <v>0.57221807318894702</v>
      </c>
      <c r="J215" s="16">
        <v>0.61111111111111116</v>
      </c>
      <c r="K215" s="16">
        <v>0.69662618083670713</v>
      </c>
      <c r="L215" s="16">
        <v>0.69884895466290819</v>
      </c>
      <c r="M215" s="16">
        <v>0.71020579588408228</v>
      </c>
      <c r="N215" s="16">
        <v>0.74067671029883919</v>
      </c>
      <c r="O215" s="16">
        <v>0.70356425702811243</v>
      </c>
      <c r="P215" s="16">
        <v>0.76598433156431645</v>
      </c>
      <c r="Q215" s="62">
        <v>0.80290262172284643</v>
      </c>
      <c r="R215" s="62">
        <v>0.75701839303000973</v>
      </c>
      <c r="S215" s="62">
        <v>0.80774469741194788</v>
      </c>
      <c r="T215" s="62">
        <v>0.85117370892018784</v>
      </c>
    </row>
    <row r="216" spans="1:20" x14ac:dyDescent="0.25">
      <c r="A216" s="121">
        <v>20</v>
      </c>
      <c r="B216" s="67" t="s">
        <v>161</v>
      </c>
      <c r="C216" s="16">
        <v>0.77892170143592521</v>
      </c>
      <c r="D216" s="16">
        <v>0.74670846394984325</v>
      </c>
      <c r="E216" s="16">
        <v>0.72927562034049187</v>
      </c>
      <c r="F216" s="16">
        <v>0.74351978171896316</v>
      </c>
      <c r="G216" s="16">
        <v>0.72868136439267883</v>
      </c>
      <c r="H216" s="16">
        <v>0.74511777733038054</v>
      </c>
      <c r="I216" s="16">
        <v>0.74170192759755527</v>
      </c>
      <c r="J216" s="16">
        <v>0.73649202733485197</v>
      </c>
      <c r="K216" s="16">
        <v>0.7380419729413018</v>
      </c>
      <c r="L216" s="16">
        <v>0.72829597729274742</v>
      </c>
      <c r="M216" s="16">
        <v>0.76383845053372945</v>
      </c>
      <c r="N216" s="16">
        <v>0.80886850152905199</v>
      </c>
      <c r="O216" s="16">
        <v>0.79177664974619288</v>
      </c>
      <c r="P216" s="16">
        <v>0.83046526449968128</v>
      </c>
      <c r="Q216" s="62">
        <v>0.80781688620168435</v>
      </c>
      <c r="R216" s="62">
        <v>0.78819406417697957</v>
      </c>
      <c r="S216" s="62">
        <v>0.81853676675653064</v>
      </c>
      <c r="T216" s="62">
        <v>0.82454397688278847</v>
      </c>
    </row>
    <row r="217" spans="1:20" x14ac:dyDescent="0.25">
      <c r="A217" s="121">
        <v>22</v>
      </c>
      <c r="B217" s="67" t="s">
        <v>134</v>
      </c>
      <c r="C217" s="16">
        <v>0.74066797642436144</v>
      </c>
      <c r="D217" s="16">
        <v>0.73037037037037034</v>
      </c>
      <c r="E217" s="16">
        <v>0.71163454675231974</v>
      </c>
      <c r="F217" s="16">
        <v>0.74283810792804794</v>
      </c>
      <c r="G217" s="16">
        <v>0.70570264765784119</v>
      </c>
      <c r="H217" s="16">
        <v>0.7495987158908507</v>
      </c>
      <c r="I217" s="16">
        <v>0.74767932489451472</v>
      </c>
      <c r="J217" s="16">
        <v>0.78936605316973418</v>
      </c>
      <c r="K217" s="16">
        <v>0.77004779607010088</v>
      </c>
      <c r="L217" s="16">
        <v>0.71006199332379594</v>
      </c>
      <c r="M217" s="16">
        <v>0.70133333333333336</v>
      </c>
      <c r="N217" s="16">
        <v>0.6961953435547984</v>
      </c>
      <c r="O217" s="16">
        <v>0.6678403755868545</v>
      </c>
      <c r="P217" s="16">
        <v>0.74835886214442016</v>
      </c>
      <c r="Q217" s="62">
        <v>0.71832979476291581</v>
      </c>
      <c r="R217" s="62">
        <v>0.72512526843235503</v>
      </c>
      <c r="S217" s="62">
        <v>0.77533664068036856</v>
      </c>
      <c r="T217" s="62">
        <v>0.76056338028169013</v>
      </c>
    </row>
    <row r="218" spans="1:20" x14ac:dyDescent="0.25">
      <c r="A218" s="121">
        <v>23</v>
      </c>
      <c r="B218" s="67" t="s">
        <v>164</v>
      </c>
      <c r="C218" s="16">
        <v>0.82408074981975488</v>
      </c>
      <c r="D218" s="16">
        <v>0.76853526220614832</v>
      </c>
      <c r="E218" s="16">
        <v>0.72597864768683273</v>
      </c>
      <c r="F218" s="16">
        <v>0.81111111111111112</v>
      </c>
      <c r="G218" s="16">
        <v>0.77836973894512518</v>
      </c>
      <c r="H218" s="16">
        <v>0.84226491405460058</v>
      </c>
      <c r="I218" s="16">
        <v>0.85484764542936287</v>
      </c>
      <c r="J218" s="16">
        <v>0.88395335924486396</v>
      </c>
      <c r="K218" s="16">
        <v>0.87930092845439656</v>
      </c>
      <c r="L218" s="16">
        <v>0.86439817166074151</v>
      </c>
      <c r="M218" s="16">
        <v>0.88375796178343946</v>
      </c>
      <c r="N218" s="16">
        <v>0.87790197764402411</v>
      </c>
      <c r="O218" s="16">
        <v>0.88510875627440044</v>
      </c>
      <c r="P218" s="16">
        <v>0.93028322440087141</v>
      </c>
      <c r="Q218" s="62">
        <v>0.89514779698828784</v>
      </c>
      <c r="R218" s="62">
        <v>0.89301310043668125</v>
      </c>
      <c r="S218" s="62">
        <v>0.89894179894179893</v>
      </c>
      <c r="T218" s="62">
        <v>0.8982960596379127</v>
      </c>
    </row>
    <row r="219" spans="1:20" x14ac:dyDescent="0.25">
      <c r="A219" s="121">
        <v>26</v>
      </c>
      <c r="B219" s="67" t="s">
        <v>149</v>
      </c>
      <c r="C219" s="16">
        <v>0.75143678160919536</v>
      </c>
      <c r="D219" s="16">
        <v>0.77099236641221369</v>
      </c>
      <c r="E219" s="16">
        <v>0.75029171528588101</v>
      </c>
      <c r="F219" s="16">
        <v>0.76059113300492609</v>
      </c>
      <c r="G219" s="16">
        <v>0.68329177057356605</v>
      </c>
      <c r="H219" s="16">
        <v>0.60230179028132991</v>
      </c>
      <c r="I219" s="16">
        <v>0.62593984962406013</v>
      </c>
      <c r="J219" s="16">
        <v>0.6265709156193896</v>
      </c>
      <c r="K219" s="16">
        <v>0.60738714090287282</v>
      </c>
      <c r="L219" s="16">
        <v>0.60960960960960964</v>
      </c>
      <c r="M219" s="16">
        <v>0.5342723004694836</v>
      </c>
      <c r="N219" s="16">
        <v>0.57583774250440922</v>
      </c>
      <c r="O219" s="16">
        <v>0.56244218316373729</v>
      </c>
      <c r="P219" s="16">
        <v>0.62295081967213117</v>
      </c>
      <c r="Q219" s="62">
        <v>0.6871750433275563</v>
      </c>
      <c r="R219" s="62">
        <v>0.70023557126030622</v>
      </c>
      <c r="S219" s="62">
        <v>0.69628727936701151</v>
      </c>
      <c r="T219" s="62">
        <v>0.69205298013245031</v>
      </c>
    </row>
    <row r="220" spans="1:20" x14ac:dyDescent="0.25">
      <c r="A220" s="121">
        <v>31</v>
      </c>
      <c r="B220" s="67" t="s">
        <v>158</v>
      </c>
      <c r="C220" s="16">
        <v>0.82717486179807975</v>
      </c>
      <c r="D220" s="16">
        <v>0.82499999999999996</v>
      </c>
      <c r="E220" s="16">
        <v>0.83932438284971844</v>
      </c>
      <c r="F220" s="16">
        <v>0.84593079450995556</v>
      </c>
      <c r="G220" s="16">
        <v>0.82857142857142863</v>
      </c>
      <c r="H220" s="16">
        <v>0.80688976377952759</v>
      </c>
      <c r="I220" s="16">
        <v>0.79670468948035489</v>
      </c>
      <c r="J220" s="16">
        <v>0.82105263157894737</v>
      </c>
      <c r="K220" s="16">
        <v>0.84101941747572817</v>
      </c>
      <c r="L220" s="16">
        <v>0.87437475952289345</v>
      </c>
      <c r="M220" s="16">
        <v>0.89200743494423795</v>
      </c>
      <c r="N220" s="16">
        <v>0.89720691620748627</v>
      </c>
      <c r="O220" s="16">
        <v>0.87258331798932054</v>
      </c>
      <c r="P220" s="16">
        <v>0.89389687828831987</v>
      </c>
      <c r="Q220" s="62">
        <v>0.88057652711050105</v>
      </c>
      <c r="R220" s="62">
        <v>0.84356035064059343</v>
      </c>
      <c r="S220" s="62">
        <v>0.84466332956563861</v>
      </c>
      <c r="T220" s="62">
        <v>0.87843682421995672</v>
      </c>
    </row>
    <row r="221" spans="1:20" x14ac:dyDescent="0.25">
      <c r="A221" s="121">
        <v>34</v>
      </c>
      <c r="B221" s="67" t="s">
        <v>142</v>
      </c>
      <c r="C221" s="16">
        <v>0.89184060721062619</v>
      </c>
      <c r="D221" s="16">
        <v>0.88524590163934425</v>
      </c>
      <c r="E221" s="16">
        <v>0.89891696750902528</v>
      </c>
      <c r="F221" s="16">
        <v>0.8800448430493274</v>
      </c>
      <c r="G221" s="16">
        <v>0.87704130643611911</v>
      </c>
      <c r="H221" s="16">
        <v>0.88922764227642281</v>
      </c>
      <c r="I221" s="16">
        <v>0.90523123578468534</v>
      </c>
      <c r="J221" s="16">
        <v>0.8886554621848739</v>
      </c>
      <c r="K221" s="16">
        <v>0.87653311529026978</v>
      </c>
      <c r="L221" s="16">
        <v>0.88650793650793647</v>
      </c>
      <c r="M221" s="16">
        <v>0.89888535031847139</v>
      </c>
      <c r="N221" s="16">
        <v>0.89674796747967478</v>
      </c>
      <c r="O221" s="16">
        <v>0.89614476789929187</v>
      </c>
      <c r="P221" s="16">
        <v>0.94070278184480238</v>
      </c>
      <c r="Q221" s="62">
        <v>0.90428441203281673</v>
      </c>
      <c r="R221" s="62">
        <v>0.87953667953667958</v>
      </c>
      <c r="S221" s="62">
        <v>0.90418736692689849</v>
      </c>
      <c r="T221" s="62">
        <v>0.91251682368775233</v>
      </c>
    </row>
    <row r="222" spans="1:20" x14ac:dyDescent="0.25">
      <c r="A222" s="121">
        <v>38</v>
      </c>
      <c r="B222" s="67" t="s">
        <v>163</v>
      </c>
      <c r="C222" s="16">
        <v>0.70685579196217496</v>
      </c>
      <c r="D222" s="16">
        <v>0.58146964856230032</v>
      </c>
      <c r="E222" s="16">
        <v>0.7303370786516854</v>
      </c>
      <c r="F222" s="16">
        <v>0.75874125874125875</v>
      </c>
      <c r="G222" s="16">
        <v>0.80970149253731338</v>
      </c>
      <c r="H222" s="16">
        <v>0.8122866894197952</v>
      </c>
      <c r="I222" s="16">
        <v>0.81648936170212771</v>
      </c>
      <c r="J222" s="16">
        <v>0.82849604221635886</v>
      </c>
      <c r="K222" s="16">
        <v>0.8356940509915014</v>
      </c>
      <c r="L222" s="16">
        <v>0.84635416666666663</v>
      </c>
      <c r="M222" s="16">
        <v>0.84705882352941175</v>
      </c>
      <c r="N222" s="16">
        <v>0.83813747228381374</v>
      </c>
      <c r="O222" s="16">
        <v>0.84978540772532185</v>
      </c>
      <c r="P222" s="16">
        <v>0.89393939393939392</v>
      </c>
      <c r="Q222" s="62">
        <v>0.87032967032967035</v>
      </c>
      <c r="R222" s="62">
        <v>0.8617424242424242</v>
      </c>
      <c r="S222" s="62">
        <v>0.86454849498327757</v>
      </c>
      <c r="T222" s="62">
        <v>0.85416666666666663</v>
      </c>
    </row>
    <row r="223" spans="1:20" x14ac:dyDescent="0.25">
      <c r="A223" s="121">
        <v>39</v>
      </c>
      <c r="B223" s="67" t="s">
        <v>125</v>
      </c>
      <c r="C223" s="16">
        <v>0.69697997964031222</v>
      </c>
      <c r="D223" s="16">
        <v>0.81203141735094608</v>
      </c>
      <c r="E223" s="16">
        <v>0.85404971932638329</v>
      </c>
      <c r="F223" s="16">
        <v>0.81461979247328475</v>
      </c>
      <c r="G223" s="16">
        <v>0.82305029525554874</v>
      </c>
      <c r="H223" s="16">
        <v>0.82591477902740373</v>
      </c>
      <c r="I223" s="16">
        <v>0.79257073424752644</v>
      </c>
      <c r="J223" s="16">
        <v>0.80025844563411486</v>
      </c>
      <c r="K223" s="16">
        <v>0.80918349115597643</v>
      </c>
      <c r="L223" s="16">
        <v>0.82646420824295008</v>
      </c>
      <c r="M223" s="16">
        <v>0.84377510040160641</v>
      </c>
      <c r="N223" s="16">
        <v>0.82672131147540984</v>
      </c>
      <c r="O223" s="16">
        <v>0.83774338492261613</v>
      </c>
      <c r="P223" s="16">
        <v>0.84838830584707647</v>
      </c>
      <c r="Q223" s="62">
        <v>0.81254701369038662</v>
      </c>
      <c r="R223" s="62">
        <v>0.80934739241949272</v>
      </c>
      <c r="S223" s="62">
        <v>0.7932555940750079</v>
      </c>
      <c r="T223" s="62">
        <v>0.81838905775075987</v>
      </c>
    </row>
    <row r="224" spans="1:20" x14ac:dyDescent="0.25">
      <c r="A224" s="121">
        <v>42</v>
      </c>
      <c r="B224" s="67" t="s">
        <v>233</v>
      </c>
      <c r="C224" s="16">
        <v>0.76538740043446774</v>
      </c>
      <c r="D224" s="16">
        <v>0.81700288184438041</v>
      </c>
      <c r="E224" s="16">
        <v>0.80510276399716518</v>
      </c>
      <c r="F224" s="16">
        <v>0.80380952380952386</v>
      </c>
      <c r="G224" s="16">
        <v>0.75690115761353516</v>
      </c>
      <c r="H224" s="16">
        <v>0.77109704641350207</v>
      </c>
      <c r="I224" s="16">
        <v>0.79057017543859653</v>
      </c>
      <c r="J224" s="16">
        <v>0.80830972615675167</v>
      </c>
      <c r="K224" s="16">
        <v>0.82363315696649031</v>
      </c>
      <c r="L224" s="16">
        <v>0.87023411371237458</v>
      </c>
      <c r="M224" s="16">
        <v>0.85615010423905491</v>
      </c>
      <c r="N224" s="16">
        <v>0.82873274780426598</v>
      </c>
      <c r="O224" s="16">
        <v>0.83673469387755106</v>
      </c>
      <c r="P224" s="16">
        <v>0.87125557680050991</v>
      </c>
      <c r="Q224" s="62">
        <v>0.87298578199052135</v>
      </c>
      <c r="R224" s="62">
        <v>0.83937316356513225</v>
      </c>
      <c r="S224" s="62">
        <v>0.83600837404047457</v>
      </c>
      <c r="T224" s="62">
        <v>0.84008683068017365</v>
      </c>
    </row>
    <row r="225" spans="1:20" x14ac:dyDescent="0.25">
      <c r="A225" s="121">
        <v>45</v>
      </c>
      <c r="B225" s="67" t="s">
        <v>132</v>
      </c>
      <c r="C225" s="16">
        <v>0.83690068493150682</v>
      </c>
      <c r="D225" s="16">
        <v>0.85353535353535348</v>
      </c>
      <c r="E225" s="16">
        <v>0.84692542520715219</v>
      </c>
      <c r="F225" s="16">
        <v>0.88441998306519898</v>
      </c>
      <c r="G225" s="16">
        <v>0.84761045987376016</v>
      </c>
      <c r="H225" s="16">
        <v>0.85426008968609868</v>
      </c>
      <c r="I225" s="16">
        <v>0.85641025641025637</v>
      </c>
      <c r="J225" s="16">
        <v>0.79587792310741179</v>
      </c>
      <c r="K225" s="16">
        <v>0.7670772676371781</v>
      </c>
      <c r="L225" s="16">
        <v>0.7562477363274176</v>
      </c>
      <c r="M225" s="16">
        <v>0.82455516014234875</v>
      </c>
      <c r="N225" s="16">
        <v>0.83865119651921682</v>
      </c>
      <c r="O225" s="16">
        <v>0.84882005899705015</v>
      </c>
      <c r="P225" s="16">
        <v>0.89473684210526316</v>
      </c>
      <c r="Q225" s="62">
        <v>0.8511422254974208</v>
      </c>
      <c r="R225" s="62">
        <v>0.85267229254571031</v>
      </c>
      <c r="S225" s="62">
        <v>0.8727079457879352</v>
      </c>
      <c r="T225" s="62">
        <v>0.87866625501698059</v>
      </c>
    </row>
    <row r="226" spans="1:20" x14ac:dyDescent="0.25">
      <c r="A226" s="121">
        <v>46</v>
      </c>
      <c r="B226" s="67" t="s">
        <v>151</v>
      </c>
      <c r="C226" s="16">
        <v>0.59948979591836737</v>
      </c>
      <c r="D226" s="16">
        <v>0.61256544502617805</v>
      </c>
      <c r="E226" s="16">
        <v>0.41937765205091937</v>
      </c>
      <c r="F226" s="16">
        <v>0.67889317889317891</v>
      </c>
      <c r="G226" s="16">
        <v>0.66044508255563528</v>
      </c>
      <c r="H226" s="16">
        <v>0.66563706563706559</v>
      </c>
      <c r="I226" s="16">
        <v>0.70720299345182414</v>
      </c>
      <c r="J226" s="16">
        <v>0.64389534883720934</v>
      </c>
      <c r="K226" s="16">
        <v>0.60833333333333328</v>
      </c>
      <c r="L226" s="16">
        <v>0.63546255506607929</v>
      </c>
      <c r="M226" s="16">
        <v>0.5908203125</v>
      </c>
      <c r="N226" s="16">
        <v>0.55118110236220474</v>
      </c>
      <c r="O226" s="16">
        <v>0.57597173144876324</v>
      </c>
      <c r="P226" s="16">
        <v>0.64749536178107603</v>
      </c>
      <c r="Q226" s="62">
        <v>0.63983628922237379</v>
      </c>
      <c r="R226" s="62">
        <v>0.67718446601941751</v>
      </c>
      <c r="S226" s="62">
        <v>0.59466327827191867</v>
      </c>
      <c r="T226" s="62">
        <v>0.62623762376237624</v>
      </c>
    </row>
    <row r="227" spans="1:20" x14ac:dyDescent="0.25">
      <c r="A227" s="121">
        <v>50</v>
      </c>
      <c r="B227" s="67" t="s">
        <v>157</v>
      </c>
      <c r="C227" s="16">
        <v>0.72057074910820451</v>
      </c>
      <c r="D227" s="16">
        <v>0.79026217228464424</v>
      </c>
      <c r="E227" s="16">
        <v>0.79147358665430956</v>
      </c>
      <c r="F227" s="16">
        <v>0.78816466552315612</v>
      </c>
      <c r="G227" s="16">
        <v>0.79890023566378632</v>
      </c>
      <c r="H227" s="16">
        <v>0.66164154103852602</v>
      </c>
      <c r="I227" s="16">
        <v>0.6825</v>
      </c>
      <c r="J227" s="16">
        <v>0.82550860719874808</v>
      </c>
      <c r="K227" s="16">
        <v>0.82552504038772212</v>
      </c>
      <c r="L227" s="16">
        <v>0.81427530954115079</v>
      </c>
      <c r="M227" s="16">
        <v>0.83639143730886845</v>
      </c>
      <c r="N227" s="16">
        <v>0.8024861878453039</v>
      </c>
      <c r="O227" s="16">
        <v>0.84125560538116595</v>
      </c>
      <c r="P227" s="16">
        <v>0.87205081669691475</v>
      </c>
      <c r="Q227" s="62">
        <v>0.92966855295068718</v>
      </c>
      <c r="R227" s="62">
        <v>0.91620553359683798</v>
      </c>
      <c r="S227" s="62">
        <v>0.90152063721940623</v>
      </c>
      <c r="T227" s="62">
        <v>0.91436659589525826</v>
      </c>
    </row>
    <row r="228" spans="1:20" x14ac:dyDescent="0.25">
      <c r="A228" s="121">
        <v>68</v>
      </c>
      <c r="B228" s="67" t="s">
        <v>126</v>
      </c>
      <c r="C228" s="16">
        <v>0.64835164835164838</v>
      </c>
      <c r="D228" s="16">
        <v>0.41921397379912662</v>
      </c>
      <c r="E228" s="16">
        <v>0.41484716157205243</v>
      </c>
      <c r="F228" s="16">
        <v>0.49538461538461537</v>
      </c>
      <c r="G228" s="16">
        <v>0.51264367816091949</v>
      </c>
      <c r="H228" s="16">
        <v>0.47230320699708456</v>
      </c>
      <c r="I228" s="16">
        <v>0.61452513966480449</v>
      </c>
      <c r="J228" s="16">
        <v>0.62941176470588234</v>
      </c>
      <c r="K228" s="16">
        <v>0.67479674796747968</v>
      </c>
      <c r="L228" s="16">
        <v>0.6560509554140127</v>
      </c>
      <c r="M228" s="16">
        <v>0.54887218045112784</v>
      </c>
      <c r="N228" s="16">
        <v>0.63846153846153841</v>
      </c>
      <c r="O228" s="16">
        <v>0.58399999999999996</v>
      </c>
      <c r="P228" s="16">
        <v>0.63070539419087135</v>
      </c>
      <c r="Q228" s="62">
        <v>0.58260869565217388</v>
      </c>
      <c r="R228" s="62">
        <v>0.69724770642201839</v>
      </c>
      <c r="S228" s="62">
        <v>0.68396226415094341</v>
      </c>
      <c r="T228" s="62">
        <v>0.69433962264150939</v>
      </c>
    </row>
    <row r="229" spans="1:20" x14ac:dyDescent="0.25">
      <c r="A229" s="121">
        <v>69</v>
      </c>
      <c r="B229" s="67" t="s">
        <v>162</v>
      </c>
      <c r="C229" s="16">
        <v>0.74151436031331597</v>
      </c>
      <c r="D229" s="16">
        <v>0.81947261663286008</v>
      </c>
      <c r="E229" s="16">
        <v>0.82836710369487487</v>
      </c>
      <c r="F229" s="16">
        <v>0.82419855222337124</v>
      </c>
      <c r="G229" s="16">
        <v>0.76867963152507679</v>
      </c>
      <c r="H229" s="16">
        <v>0.77229299363057324</v>
      </c>
      <c r="I229" s="16">
        <v>0.76814814814814814</v>
      </c>
      <c r="J229" s="16">
        <v>0.75722543352601157</v>
      </c>
      <c r="K229" s="16">
        <v>0.76758793969849248</v>
      </c>
      <c r="L229" s="16">
        <v>0.75483158475980117</v>
      </c>
      <c r="M229" s="16">
        <v>0.76623376623376627</v>
      </c>
      <c r="N229" s="16">
        <v>0.76585059635907093</v>
      </c>
      <c r="O229" s="16">
        <v>0.80808729139922975</v>
      </c>
      <c r="P229" s="16">
        <v>0.82959048877146635</v>
      </c>
      <c r="Q229" s="62">
        <v>0.83208020050125309</v>
      </c>
      <c r="R229" s="62">
        <v>0.81043350477590004</v>
      </c>
      <c r="S229" s="62">
        <v>0.81856540084388185</v>
      </c>
      <c r="T229" s="62">
        <v>0.81605751947273819</v>
      </c>
    </row>
    <row r="230" spans="1:20" x14ac:dyDescent="0.25">
      <c r="A230" s="121">
        <v>70</v>
      </c>
      <c r="B230" s="67" t="s">
        <v>147</v>
      </c>
      <c r="C230" s="16">
        <v>0.8635473340587595</v>
      </c>
      <c r="D230" s="16">
        <v>0.85078141725540568</v>
      </c>
      <c r="E230" s="16">
        <v>0.85847299813780265</v>
      </c>
      <c r="F230" s="16">
        <v>0.85079211121888132</v>
      </c>
      <c r="G230" s="16">
        <v>0.81636838180462346</v>
      </c>
      <c r="H230" s="16">
        <v>0.81502676758353332</v>
      </c>
      <c r="I230" s="16">
        <v>0.80781527531083486</v>
      </c>
      <c r="J230" s="16">
        <v>0.82113410735318859</v>
      </c>
      <c r="K230" s="16">
        <v>0.81593625498007971</v>
      </c>
      <c r="L230" s="16">
        <v>0.83136046700178368</v>
      </c>
      <c r="M230" s="16">
        <v>0.85173401209035948</v>
      </c>
      <c r="N230" s="16">
        <v>0.85098160457566863</v>
      </c>
      <c r="O230" s="16">
        <v>0.8565022421524664</v>
      </c>
      <c r="P230" s="16">
        <v>0.90847675727843014</v>
      </c>
      <c r="Q230" s="62">
        <v>0.88713611969425921</v>
      </c>
      <c r="R230" s="62">
        <v>0.87379560890854524</v>
      </c>
      <c r="S230" s="62">
        <v>0.88329860077403988</v>
      </c>
      <c r="T230" s="62">
        <v>0.8806102799585247</v>
      </c>
    </row>
    <row r="231" spans="1:20" x14ac:dyDescent="0.25">
      <c r="A231" s="121">
        <v>71</v>
      </c>
      <c r="B231" s="67" t="s">
        <v>138</v>
      </c>
      <c r="C231" s="16">
        <v>0.81542056074766356</v>
      </c>
      <c r="D231" s="16">
        <v>0.82116581777023201</v>
      </c>
      <c r="E231" s="16">
        <v>0.83165075034106417</v>
      </c>
      <c r="F231" s="16">
        <v>0.80758733624454149</v>
      </c>
      <c r="G231" s="16">
        <v>0.76104417670682734</v>
      </c>
      <c r="H231" s="16">
        <v>0.82642304989458892</v>
      </c>
      <c r="I231" s="16">
        <v>0.79289940828402372</v>
      </c>
      <c r="J231" s="16">
        <v>0.80160499331252788</v>
      </c>
      <c r="K231" s="16">
        <v>0.75718782791185735</v>
      </c>
      <c r="L231" s="16">
        <v>0.79231337767923138</v>
      </c>
      <c r="M231" s="16">
        <v>0.77674872044845233</v>
      </c>
      <c r="N231" s="16">
        <v>0.76502608301202091</v>
      </c>
      <c r="O231" s="16">
        <v>0.74832775919732442</v>
      </c>
      <c r="P231" s="16">
        <v>0.86741803278688523</v>
      </c>
      <c r="Q231" s="62">
        <v>0.82275368797496651</v>
      </c>
      <c r="R231" s="62">
        <v>0.79938852304797747</v>
      </c>
      <c r="S231" s="62">
        <v>0.78167347816734778</v>
      </c>
      <c r="T231" s="62">
        <v>0.79064158224794978</v>
      </c>
    </row>
    <row r="232" spans="1:20" x14ac:dyDescent="0.25">
      <c r="A232" s="121">
        <v>72</v>
      </c>
      <c r="B232" s="67" t="s">
        <v>135</v>
      </c>
      <c r="C232" s="16">
        <v>0.80175566934893927</v>
      </c>
      <c r="D232" s="16">
        <v>0.7415300546448087</v>
      </c>
      <c r="E232" s="16">
        <v>0.77151639344262291</v>
      </c>
      <c r="F232" s="16">
        <v>0.8</v>
      </c>
      <c r="G232" s="16">
        <v>0.78507164278573804</v>
      </c>
      <c r="H232" s="16">
        <v>0.81516443361753954</v>
      </c>
      <c r="I232" s="16">
        <v>0.77966101694915257</v>
      </c>
      <c r="J232" s="16">
        <v>0.8058968058968059</v>
      </c>
      <c r="K232" s="16">
        <v>0.8253189401373896</v>
      </c>
      <c r="L232" s="16">
        <v>0.82230569199653281</v>
      </c>
      <c r="M232" s="16">
        <v>0.82138694638694643</v>
      </c>
      <c r="N232" s="16">
        <v>0.80780182232346243</v>
      </c>
      <c r="O232" s="16">
        <v>0.81231925968768071</v>
      </c>
      <c r="P232" s="16">
        <v>0.88084265964450292</v>
      </c>
      <c r="Q232" s="62">
        <v>0.84124152693542631</v>
      </c>
      <c r="R232" s="62">
        <v>0.79838991949597482</v>
      </c>
      <c r="S232" s="62">
        <v>0.78710876975519062</v>
      </c>
      <c r="T232" s="62">
        <v>0.81480371591249623</v>
      </c>
    </row>
    <row r="233" spans="1:20" x14ac:dyDescent="0.25">
      <c r="A233" s="121">
        <v>73</v>
      </c>
      <c r="B233" s="67" t="s">
        <v>150</v>
      </c>
      <c r="C233" s="16">
        <v>0.76362349610757252</v>
      </c>
      <c r="D233" s="16">
        <v>0.79557195571955719</v>
      </c>
      <c r="E233" s="16">
        <v>0.78021148036253773</v>
      </c>
      <c r="F233" s="16">
        <v>0.79697624190064797</v>
      </c>
      <c r="G233" s="16">
        <v>0.71599657827202734</v>
      </c>
      <c r="H233" s="16">
        <v>0.8023152270703473</v>
      </c>
      <c r="I233" s="16">
        <v>0.77276390008058016</v>
      </c>
      <c r="J233" s="16">
        <v>0.79794268919911826</v>
      </c>
      <c r="K233" s="16">
        <v>0.75947622329427977</v>
      </c>
      <c r="L233" s="16">
        <v>0.77749029754204402</v>
      </c>
      <c r="M233" s="16">
        <v>0.79393083980239942</v>
      </c>
      <c r="N233" s="16">
        <v>0.80171844018506278</v>
      </c>
      <c r="O233" s="16">
        <v>0.8010680907877169</v>
      </c>
      <c r="P233" s="16">
        <v>0.82150386507378781</v>
      </c>
      <c r="Q233" s="62">
        <v>0.81061224489795913</v>
      </c>
      <c r="R233" s="62">
        <v>0.7836206896551724</v>
      </c>
      <c r="S233" s="62">
        <v>0.77911344853493614</v>
      </c>
      <c r="T233" s="62">
        <v>0.80517503805175039</v>
      </c>
    </row>
    <row r="234" spans="1:20" x14ac:dyDescent="0.25">
      <c r="A234" s="121">
        <v>74</v>
      </c>
      <c r="B234" s="67" t="s">
        <v>144</v>
      </c>
      <c r="C234" s="16">
        <v>0.8342857142857143</v>
      </c>
      <c r="D234" s="16">
        <v>0.83870967741935487</v>
      </c>
      <c r="E234" s="16">
        <v>0.82912621359223304</v>
      </c>
      <c r="F234" s="16">
        <v>0.83105022831050224</v>
      </c>
      <c r="G234" s="16">
        <v>0.78412911903160731</v>
      </c>
      <c r="H234" s="16">
        <v>0.8282763072950291</v>
      </c>
      <c r="I234" s="16">
        <v>0.78045763760049469</v>
      </c>
      <c r="J234" s="16">
        <v>0.79430789133247093</v>
      </c>
      <c r="K234" s="16">
        <v>0.76452410383189118</v>
      </c>
      <c r="L234" s="16">
        <v>0.80895522388059704</v>
      </c>
      <c r="M234" s="16">
        <v>0.83060417843026535</v>
      </c>
      <c r="N234" s="16">
        <v>0.77771461057418989</v>
      </c>
      <c r="O234" s="16">
        <v>0.7515320334261838</v>
      </c>
      <c r="P234" s="16">
        <v>0.88993525603296053</v>
      </c>
      <c r="Q234" s="62">
        <v>0.85167130919220058</v>
      </c>
      <c r="R234" s="62">
        <v>0.80984848484848482</v>
      </c>
      <c r="S234" s="62">
        <v>0.81790312691600242</v>
      </c>
      <c r="T234" s="62">
        <v>0.82012724117987279</v>
      </c>
    </row>
    <row r="235" spans="1:20" x14ac:dyDescent="0.25">
      <c r="A235" s="121">
        <v>75</v>
      </c>
      <c r="B235" s="67" t="s">
        <v>133</v>
      </c>
      <c r="C235" s="16">
        <v>0.84571660576532681</v>
      </c>
      <c r="D235" s="16">
        <v>0.82553956834532372</v>
      </c>
      <c r="E235" s="16">
        <v>0.84552141929900471</v>
      </c>
      <c r="F235" s="16">
        <v>0.8798955613577023</v>
      </c>
      <c r="G235" s="16">
        <v>0.83115124153498876</v>
      </c>
      <c r="H235" s="16">
        <v>0.88134015821312239</v>
      </c>
      <c r="I235" s="16">
        <v>0.86715391229578676</v>
      </c>
      <c r="J235" s="16">
        <v>0.84426229508196726</v>
      </c>
      <c r="K235" s="16">
        <v>0.82418952618453867</v>
      </c>
      <c r="L235" s="16">
        <v>0.85859012241452093</v>
      </c>
      <c r="M235" s="16">
        <v>0.84355701934952654</v>
      </c>
      <c r="N235" s="16">
        <v>0.79019292604501612</v>
      </c>
      <c r="O235" s="16">
        <v>0.78922345483359746</v>
      </c>
      <c r="P235" s="16">
        <v>0.88888888888888884</v>
      </c>
      <c r="Q235" s="62">
        <v>0.85852798589687085</v>
      </c>
      <c r="R235" s="62">
        <v>0.82264736297828334</v>
      </c>
      <c r="S235" s="62">
        <v>0.83213644524236985</v>
      </c>
      <c r="T235" s="62">
        <v>0.84212712920648114</v>
      </c>
    </row>
    <row r="236" spans="1:20" x14ac:dyDescent="0.25">
      <c r="A236" s="121">
        <v>76</v>
      </c>
      <c r="B236" s="67" t="s">
        <v>145</v>
      </c>
      <c r="C236" s="16">
        <v>0.88108441158348738</v>
      </c>
      <c r="D236" s="16">
        <v>0.8712814645308925</v>
      </c>
      <c r="E236" s="16">
        <v>0.84658143413007225</v>
      </c>
      <c r="F236" s="16">
        <v>0.8437815975733064</v>
      </c>
      <c r="G236" s="16">
        <v>0.82007474639615585</v>
      </c>
      <c r="H236" s="16">
        <v>0.84396467124631991</v>
      </c>
      <c r="I236" s="16">
        <v>0.83732789393166751</v>
      </c>
      <c r="J236" s="16">
        <v>0.84008307372793356</v>
      </c>
      <c r="K236" s="16">
        <v>0.8369980879541109</v>
      </c>
      <c r="L236" s="16">
        <v>0.82709616295594501</v>
      </c>
      <c r="M236" s="16">
        <v>0.83946488294314381</v>
      </c>
      <c r="N236" s="16">
        <v>0.85315645013723695</v>
      </c>
      <c r="O236" s="16">
        <v>0.84194831013916505</v>
      </c>
      <c r="P236" s="16">
        <v>0.94123360854783877</v>
      </c>
      <c r="Q236" s="62">
        <v>0.86655405405405406</v>
      </c>
      <c r="R236" s="62">
        <v>0.8633641807294502</v>
      </c>
      <c r="S236" s="62">
        <v>0.86580706781279848</v>
      </c>
      <c r="T236" s="62">
        <v>0.84672206832871655</v>
      </c>
    </row>
    <row r="237" spans="1:20" x14ac:dyDescent="0.25">
      <c r="A237" s="121">
        <v>77</v>
      </c>
      <c r="B237" s="67" t="s">
        <v>140</v>
      </c>
      <c r="C237" s="16">
        <v>0.78231292517006801</v>
      </c>
      <c r="D237" s="16">
        <v>0.7401685393258427</v>
      </c>
      <c r="E237" s="16">
        <v>0.81118881118881114</v>
      </c>
      <c r="F237" s="16">
        <v>0.77203647416413379</v>
      </c>
      <c r="G237" s="16">
        <v>0.80842105263157893</v>
      </c>
      <c r="H237" s="16">
        <v>0.80090497737556565</v>
      </c>
      <c r="I237" s="16">
        <v>0.80991735537190079</v>
      </c>
      <c r="J237" s="16">
        <v>0.83542039355992848</v>
      </c>
      <c r="K237" s="16">
        <v>0.80059970014992499</v>
      </c>
      <c r="L237" s="16">
        <v>0.77181208053691275</v>
      </c>
      <c r="M237" s="16">
        <v>0.82597054886211507</v>
      </c>
      <c r="N237" s="16">
        <v>0.83450210378681622</v>
      </c>
      <c r="O237" s="16">
        <v>0.7890743550834598</v>
      </c>
      <c r="P237" s="16">
        <v>0.87279151943462896</v>
      </c>
      <c r="Q237" s="62">
        <v>0.80354267310789051</v>
      </c>
      <c r="R237" s="62">
        <v>0.84905660377358494</v>
      </c>
      <c r="S237" s="62">
        <v>0.85222929936305736</v>
      </c>
      <c r="T237" s="62">
        <v>0.86107634543178979</v>
      </c>
    </row>
    <row r="238" spans="1:20" x14ac:dyDescent="0.25">
      <c r="A238" s="121">
        <v>78</v>
      </c>
      <c r="B238" s="67" t="s">
        <v>137</v>
      </c>
      <c r="C238" s="16">
        <v>0.90961677512653649</v>
      </c>
      <c r="D238" s="16">
        <v>0.86696230598669621</v>
      </c>
      <c r="E238" s="16">
        <v>0.90797987059669305</v>
      </c>
      <c r="F238" s="16">
        <v>0.88602654176424667</v>
      </c>
      <c r="G238" s="16">
        <v>0.83706563706563708</v>
      </c>
      <c r="H238" s="16">
        <v>0.86922209695603159</v>
      </c>
      <c r="I238" s="16">
        <v>0.86737035337310697</v>
      </c>
      <c r="J238" s="16">
        <v>0.86436781609195401</v>
      </c>
      <c r="K238" s="16">
        <v>0.85637149028077753</v>
      </c>
      <c r="L238" s="16">
        <v>0.85039787798408484</v>
      </c>
      <c r="M238" s="16">
        <v>0.84775808133472363</v>
      </c>
      <c r="N238" s="16">
        <v>0.84308390022675739</v>
      </c>
      <c r="O238" s="16">
        <v>0.85735009671179885</v>
      </c>
      <c r="P238" s="16">
        <v>0.86967054263565891</v>
      </c>
      <c r="Q238" s="62">
        <v>0.83333333333333337</v>
      </c>
      <c r="R238" s="62">
        <v>0.84488778054862845</v>
      </c>
      <c r="S238" s="62">
        <v>0.83508771929824566</v>
      </c>
      <c r="T238" s="62">
        <v>0.86661073825503354</v>
      </c>
    </row>
    <row r="239" spans="1:20" x14ac:dyDescent="0.25">
      <c r="A239" s="121">
        <v>79</v>
      </c>
      <c r="B239" s="67" t="s">
        <v>148</v>
      </c>
      <c r="C239" s="16">
        <v>0.80824742268041239</v>
      </c>
      <c r="D239" s="16">
        <v>0.67473524962178522</v>
      </c>
      <c r="E239" s="16">
        <v>0.68074534161490685</v>
      </c>
      <c r="F239" s="16">
        <v>0.76979472140762462</v>
      </c>
      <c r="G239" s="16">
        <v>0.67192429022082023</v>
      </c>
      <c r="H239" s="16">
        <v>0.74014598540145982</v>
      </c>
      <c r="I239" s="16">
        <v>0.80804020100502516</v>
      </c>
      <c r="J239" s="16">
        <v>0.64468503937007871</v>
      </c>
      <c r="K239" s="16">
        <v>0.7467980295566502</v>
      </c>
      <c r="L239" s="16">
        <v>0.77597109304426382</v>
      </c>
      <c r="M239" s="16">
        <v>0.77486910994764402</v>
      </c>
      <c r="N239" s="16">
        <v>0.79182509505703425</v>
      </c>
      <c r="O239" s="16">
        <v>0.72423146473779387</v>
      </c>
      <c r="P239" s="16">
        <v>0.87289088863892017</v>
      </c>
      <c r="Q239" s="62">
        <v>0.84881209503239741</v>
      </c>
      <c r="R239" s="62">
        <v>0.78674948240165632</v>
      </c>
      <c r="S239" s="62">
        <v>0.87250650477016478</v>
      </c>
      <c r="T239" s="62">
        <v>0.80195599022004893</v>
      </c>
    </row>
    <row r="240" spans="1:20" x14ac:dyDescent="0.25">
      <c r="A240" s="121">
        <v>80</v>
      </c>
      <c r="B240" s="67" t="s">
        <v>136</v>
      </c>
      <c r="C240" s="16">
        <v>0.82606060606060605</v>
      </c>
      <c r="D240" s="16">
        <v>0.77617728531855956</v>
      </c>
      <c r="E240" s="16">
        <v>0.85122282608695654</v>
      </c>
      <c r="F240" s="16">
        <v>0.79522431259044868</v>
      </c>
      <c r="G240" s="16">
        <v>0.75683890577507595</v>
      </c>
      <c r="H240" s="16">
        <v>0.80414887126296519</v>
      </c>
      <c r="I240" s="16">
        <v>0.80420918367346939</v>
      </c>
      <c r="J240" s="16">
        <v>0.80059523809523814</v>
      </c>
      <c r="K240" s="16">
        <v>0.7925598991172762</v>
      </c>
      <c r="L240" s="16">
        <v>0.83103257868580893</v>
      </c>
      <c r="M240" s="16">
        <v>0.82871678914641045</v>
      </c>
      <c r="N240" s="16">
        <v>0.81942336874051591</v>
      </c>
      <c r="O240" s="16">
        <v>0.83831728332488598</v>
      </c>
      <c r="P240" s="16">
        <v>0.88743059061080265</v>
      </c>
      <c r="Q240" s="62">
        <v>0.86921119592875318</v>
      </c>
      <c r="R240" s="62">
        <v>0.85062893081761004</v>
      </c>
      <c r="S240" s="62">
        <v>0.85159705159705157</v>
      </c>
      <c r="T240" s="62">
        <v>0.83276283618581903</v>
      </c>
    </row>
    <row r="241" spans="1:20" x14ac:dyDescent="0.25">
      <c r="A241" s="121">
        <v>81</v>
      </c>
      <c r="B241" s="67" t="s">
        <v>160</v>
      </c>
      <c r="C241" s="16">
        <v>0.65307786384019573</v>
      </c>
      <c r="D241" s="16">
        <v>0.7325467059980334</v>
      </c>
      <c r="E241" s="16">
        <v>0.64948453608247425</v>
      </c>
      <c r="F241" s="16">
        <v>0.73321067157313713</v>
      </c>
      <c r="G241" s="16">
        <v>0.59238095238095234</v>
      </c>
      <c r="H241" s="16">
        <v>0.75275275275275277</v>
      </c>
      <c r="I241" s="16">
        <v>0.6959669079627715</v>
      </c>
      <c r="J241" s="16">
        <v>0.74709302325581395</v>
      </c>
      <c r="K241" s="16">
        <v>0.71413390010626998</v>
      </c>
      <c r="L241" s="16">
        <v>0.78375527426160341</v>
      </c>
      <c r="M241" s="16">
        <v>0.81024096385542166</v>
      </c>
      <c r="N241" s="16">
        <v>0.76102941176470584</v>
      </c>
      <c r="O241" s="16">
        <v>0.75021312872975277</v>
      </c>
      <c r="P241" s="16">
        <v>0.82636363636363641</v>
      </c>
      <c r="Q241" s="62">
        <v>0.76765375854214124</v>
      </c>
      <c r="R241" s="62">
        <v>0.72695449241540255</v>
      </c>
      <c r="S241" s="62">
        <v>0.76599634369287017</v>
      </c>
      <c r="T241" s="62">
        <v>0.77571669477234406</v>
      </c>
    </row>
    <row r="242" spans="1:20" x14ac:dyDescent="0.25">
      <c r="A242" s="121">
        <v>82</v>
      </c>
      <c r="B242" s="67" t="s">
        <v>127</v>
      </c>
      <c r="C242" s="16">
        <v>0.85690923957481602</v>
      </c>
      <c r="D242" s="16">
        <v>0.7740511915269197</v>
      </c>
      <c r="E242" s="16">
        <v>0.86629001883239176</v>
      </c>
      <c r="F242" s="16">
        <v>0.7884427032321254</v>
      </c>
      <c r="G242" s="16">
        <v>0.83911368015414256</v>
      </c>
      <c r="H242" s="16">
        <v>0.82190378710337764</v>
      </c>
      <c r="I242" s="16">
        <v>0.80499075785582253</v>
      </c>
      <c r="J242" s="16">
        <v>0.83524904214559392</v>
      </c>
      <c r="K242" s="16">
        <v>0.78898305084745768</v>
      </c>
      <c r="L242" s="16">
        <v>0.8230337078651685</v>
      </c>
      <c r="M242" s="16">
        <v>0.848294434470377</v>
      </c>
      <c r="N242" s="16">
        <v>0.83539094650205759</v>
      </c>
      <c r="O242" s="16">
        <v>0.77756471716203257</v>
      </c>
      <c r="P242" s="16">
        <v>0.8820224719101124</v>
      </c>
      <c r="Q242" s="62">
        <v>0.8693820224719101</v>
      </c>
      <c r="R242" s="62">
        <v>0.85542168674698793</v>
      </c>
      <c r="S242" s="62">
        <v>0.86951066499372642</v>
      </c>
      <c r="T242" s="62">
        <v>0.87944162436548223</v>
      </c>
    </row>
    <row r="243" spans="1:20" x14ac:dyDescent="0.25">
      <c r="A243" s="121">
        <v>83</v>
      </c>
      <c r="B243" s="67" t="s">
        <v>139</v>
      </c>
      <c r="C243" s="16">
        <v>0.82390336935791486</v>
      </c>
      <c r="D243" s="16">
        <v>0.84853905784138339</v>
      </c>
      <c r="E243" s="16">
        <v>0.83089887640449434</v>
      </c>
      <c r="F243" s="16">
        <v>0.81411637931034486</v>
      </c>
      <c r="G243" s="16">
        <v>0.75848416289592757</v>
      </c>
      <c r="H243" s="16">
        <v>0.80068027210884352</v>
      </c>
      <c r="I243" s="16">
        <v>0.74563242487770787</v>
      </c>
      <c r="J243" s="16">
        <v>0.78206026629292225</v>
      </c>
      <c r="K243" s="16">
        <v>0.76256499133448874</v>
      </c>
      <c r="L243" s="16">
        <v>0.78734036646307604</v>
      </c>
      <c r="M243" s="16">
        <v>0.82081280788177335</v>
      </c>
      <c r="N243" s="16">
        <v>0.75108628181253878</v>
      </c>
      <c r="O243" s="16">
        <v>0.80616078136739289</v>
      </c>
      <c r="P243" s="16">
        <v>0.87755102040816324</v>
      </c>
      <c r="Q243" s="62">
        <v>0.84022824536376606</v>
      </c>
      <c r="R243" s="62">
        <v>0.81560891938250424</v>
      </c>
      <c r="S243" s="62">
        <v>0.75053456878118319</v>
      </c>
      <c r="T243" s="62">
        <v>0.80175159235668791</v>
      </c>
    </row>
    <row r="244" spans="1:20" x14ac:dyDescent="0.25">
      <c r="A244" s="121">
        <v>84</v>
      </c>
      <c r="B244" s="67" t="s">
        <v>141</v>
      </c>
      <c r="C244" s="16">
        <v>0.82655502392344493</v>
      </c>
      <c r="D244" s="16">
        <v>0.83857729138166892</v>
      </c>
      <c r="E244" s="16">
        <v>0.80511571254567604</v>
      </c>
      <c r="F244" s="16">
        <v>0.80988023952095811</v>
      </c>
      <c r="G244" s="16">
        <v>0.78101265822784816</v>
      </c>
      <c r="H244" s="16">
        <v>0.85825545171339568</v>
      </c>
      <c r="I244" s="16">
        <v>0.78331090174966356</v>
      </c>
      <c r="J244" s="16">
        <v>0.80564971751412429</v>
      </c>
      <c r="K244" s="16">
        <v>0.83471074380165289</v>
      </c>
      <c r="L244" s="16">
        <v>0.8168462291870715</v>
      </c>
      <c r="M244" s="16">
        <v>0.80605564648117844</v>
      </c>
      <c r="N244" s="16">
        <v>0.8188126445643793</v>
      </c>
      <c r="O244" s="16">
        <v>0.84051724137931039</v>
      </c>
      <c r="P244" s="16">
        <v>0.91077801570306927</v>
      </c>
      <c r="Q244" s="62">
        <v>0.85542168674698793</v>
      </c>
      <c r="R244" s="62">
        <v>0.90179910044977507</v>
      </c>
      <c r="S244" s="62">
        <v>0.86405005688282144</v>
      </c>
      <c r="T244" s="62">
        <v>0.86080231996133394</v>
      </c>
    </row>
    <row r="245" spans="1:20" x14ac:dyDescent="0.25">
      <c r="A245" s="121">
        <v>85</v>
      </c>
      <c r="B245" s="67" t="s">
        <v>121</v>
      </c>
      <c r="C245" s="16">
        <v>0.61109097499093878</v>
      </c>
      <c r="D245" s="16">
        <v>0.72202709483191174</v>
      </c>
      <c r="E245" s="16">
        <v>0.74653822998193864</v>
      </c>
      <c r="F245" s="16">
        <v>0.74078780177890724</v>
      </c>
      <c r="G245" s="16">
        <v>0.75294778214486247</v>
      </c>
      <c r="H245" s="16">
        <v>0.70433145009416198</v>
      </c>
      <c r="I245" s="16">
        <v>0.73431317128321083</v>
      </c>
      <c r="J245" s="16">
        <v>0.79850347407803313</v>
      </c>
      <c r="K245" s="16">
        <v>0.80076997112608272</v>
      </c>
      <c r="L245" s="16">
        <v>0.75252303641948226</v>
      </c>
      <c r="M245" s="16">
        <v>0.80699233716475094</v>
      </c>
      <c r="N245" s="16">
        <v>0.74677920924033758</v>
      </c>
      <c r="O245" s="16">
        <v>0.82417582417582413</v>
      </c>
      <c r="P245" s="16">
        <v>0.84423364952571145</v>
      </c>
      <c r="Q245" s="62">
        <v>0.81754161331626118</v>
      </c>
      <c r="R245" s="62">
        <v>0.70641562064156205</v>
      </c>
      <c r="S245" s="62">
        <v>0.80012150668286752</v>
      </c>
      <c r="T245" s="62">
        <v>0.83530106257378989</v>
      </c>
    </row>
    <row r="246" spans="1:20" x14ac:dyDescent="0.25">
      <c r="A246" s="121">
        <v>86</v>
      </c>
      <c r="B246" s="67" t="s">
        <v>167</v>
      </c>
      <c r="C246" s="16">
        <v>0.91303177167474425</v>
      </c>
      <c r="D246" s="16">
        <v>0.90142706131078221</v>
      </c>
      <c r="E246" s="16">
        <v>0.89576392194193244</v>
      </c>
      <c r="F246" s="16">
        <v>0.88470643939393945</v>
      </c>
      <c r="G246" s="16">
        <v>0.89296046287367403</v>
      </c>
      <c r="H246" s="16">
        <v>0.85499593826157594</v>
      </c>
      <c r="I246" s="16">
        <v>0.86888078325974272</v>
      </c>
      <c r="J246" s="16">
        <v>0.89021342049605845</v>
      </c>
      <c r="K246" s="16">
        <v>0.88433826317785358</v>
      </c>
      <c r="L246" s="16">
        <v>0.85565503380230223</v>
      </c>
      <c r="M246" s="16">
        <v>0.88257575757575757</v>
      </c>
      <c r="N246" s="16">
        <v>0.8762393767705382</v>
      </c>
      <c r="O246" s="16">
        <v>0.8784452296819788</v>
      </c>
      <c r="P246" s="16">
        <v>0.91332179930795843</v>
      </c>
      <c r="Q246" s="62">
        <v>0.89239427012278305</v>
      </c>
      <c r="R246" s="62">
        <v>0.89028107009820523</v>
      </c>
      <c r="S246" s="62">
        <v>0.90387329465265798</v>
      </c>
      <c r="T246" s="62">
        <v>0.9011680143755616</v>
      </c>
    </row>
    <row r="247" spans="1:20" x14ac:dyDescent="0.25">
      <c r="A247" s="121">
        <v>87</v>
      </c>
      <c r="B247" s="67" t="s">
        <v>146</v>
      </c>
      <c r="C247" s="16">
        <v>0.81627955639255079</v>
      </c>
      <c r="D247" s="16">
        <v>0.80321469575200921</v>
      </c>
      <c r="E247" s="16">
        <v>0.79661404712880346</v>
      </c>
      <c r="F247" s="16">
        <v>0.82503556187766713</v>
      </c>
      <c r="G247" s="16">
        <v>0.77704783412030387</v>
      </c>
      <c r="H247" s="16">
        <v>0.79459348761007575</v>
      </c>
      <c r="I247" s="16">
        <v>0.80601357904946658</v>
      </c>
      <c r="J247" s="16">
        <v>0.79011345218800644</v>
      </c>
      <c r="K247" s="16">
        <v>0.78750246402523161</v>
      </c>
      <c r="L247" s="16">
        <v>0.80053856510867472</v>
      </c>
      <c r="M247" s="16">
        <v>0.80878243512974057</v>
      </c>
      <c r="N247" s="16">
        <v>0.78901842798044375</v>
      </c>
      <c r="O247" s="16">
        <v>0.84710743801652888</v>
      </c>
      <c r="P247" s="16">
        <v>0.89852558542931482</v>
      </c>
      <c r="Q247" s="62">
        <v>0.90349899710274129</v>
      </c>
      <c r="R247" s="62">
        <v>0.84584269662921352</v>
      </c>
      <c r="S247" s="62">
        <v>0.84898750538560963</v>
      </c>
      <c r="T247" s="62">
        <v>0.8608096828046744</v>
      </c>
    </row>
    <row r="248" spans="1:20" x14ac:dyDescent="0.25">
      <c r="A248" s="121">
        <v>88</v>
      </c>
      <c r="B248" s="67" t="s">
        <v>122</v>
      </c>
      <c r="C248" s="16">
        <v>0.84753119913185027</v>
      </c>
      <c r="D248" s="16">
        <v>0.79114713216957611</v>
      </c>
      <c r="E248" s="16">
        <v>0.87106756059824653</v>
      </c>
      <c r="F248" s="16">
        <v>0.86155063291139244</v>
      </c>
      <c r="G248" s="16">
        <v>0.7008928571428571</v>
      </c>
      <c r="H248" s="16">
        <v>0.81419354838709679</v>
      </c>
      <c r="I248" s="16">
        <v>0.7767819035424669</v>
      </c>
      <c r="J248" s="16">
        <v>0.80009298000929796</v>
      </c>
      <c r="K248" s="16">
        <v>0.82081194587027528</v>
      </c>
      <c r="L248" s="16">
        <v>0.80052724077328652</v>
      </c>
      <c r="M248" s="16">
        <v>0.80416312659303313</v>
      </c>
      <c r="N248" s="16">
        <v>0.8</v>
      </c>
      <c r="O248" s="16">
        <v>0.80557620817843867</v>
      </c>
      <c r="P248" s="16">
        <v>0.89456122789456127</v>
      </c>
      <c r="Q248" s="62">
        <v>0.83885640025990904</v>
      </c>
      <c r="R248" s="62">
        <v>0.80811287477954141</v>
      </c>
      <c r="S248" s="62">
        <v>0.81270903010033446</v>
      </c>
      <c r="T248" s="62">
        <v>0.85490196078431369</v>
      </c>
    </row>
    <row r="249" spans="1:20" x14ac:dyDescent="0.25">
      <c r="A249" s="121">
        <v>89</v>
      </c>
      <c r="B249" s="67" t="s">
        <v>166</v>
      </c>
      <c r="C249" s="16">
        <v>0.78167778167778168</v>
      </c>
      <c r="D249" s="16">
        <v>0.78235496052179887</v>
      </c>
      <c r="E249" s="16">
        <v>0.78010825439783493</v>
      </c>
      <c r="F249" s="16">
        <v>0.77777777777777779</v>
      </c>
      <c r="G249" s="16">
        <v>0.7481946624803768</v>
      </c>
      <c r="H249" s="16">
        <v>0.75657894736842102</v>
      </c>
      <c r="I249" s="16">
        <v>0.75231053604436227</v>
      </c>
      <c r="J249" s="16">
        <v>0.79390018484288349</v>
      </c>
      <c r="K249" s="16">
        <v>0.79572803850782192</v>
      </c>
      <c r="L249" s="16">
        <v>0.80237612286293825</v>
      </c>
      <c r="M249" s="16">
        <v>0.81704479348458403</v>
      </c>
      <c r="N249" s="16">
        <v>0.8094975151849807</v>
      </c>
      <c r="O249" s="16">
        <v>0.80277475516866159</v>
      </c>
      <c r="P249" s="16">
        <v>0.8809662398137369</v>
      </c>
      <c r="Q249" s="62">
        <v>0.8426745329400197</v>
      </c>
      <c r="R249" s="62">
        <v>0.80141190914671578</v>
      </c>
      <c r="S249" s="62">
        <v>0.83508158508158503</v>
      </c>
      <c r="T249" s="62">
        <v>0.84271133211201255</v>
      </c>
    </row>
    <row r="250" spans="1:20" x14ac:dyDescent="0.25">
      <c r="A250" s="121">
        <v>90</v>
      </c>
      <c r="B250" s="67" t="s">
        <v>159</v>
      </c>
      <c r="C250" s="16">
        <v>0.81818181818181823</v>
      </c>
      <c r="D250" s="16">
        <v>0.81643356643356646</v>
      </c>
      <c r="E250" s="16">
        <v>0.81941309255079009</v>
      </c>
      <c r="F250" s="16">
        <v>0.82158502588610116</v>
      </c>
      <c r="G250" s="16">
        <v>0.80226209048361929</v>
      </c>
      <c r="H250" s="16">
        <v>0.82474226804123707</v>
      </c>
      <c r="I250" s="16">
        <v>0.82280765066762906</v>
      </c>
      <c r="J250" s="16">
        <v>0.82235939643347056</v>
      </c>
      <c r="K250" s="16">
        <v>0.81606905710491373</v>
      </c>
      <c r="L250" s="16">
        <v>0.82908339076498971</v>
      </c>
      <c r="M250" s="16">
        <v>0.85619834710743803</v>
      </c>
      <c r="N250" s="16">
        <v>0.83994919021911718</v>
      </c>
      <c r="O250" s="16">
        <v>0.89123517500723171</v>
      </c>
      <c r="P250" s="16">
        <v>0.86662883087400677</v>
      </c>
      <c r="Q250" s="62">
        <v>0.86528976572133165</v>
      </c>
      <c r="R250" s="62">
        <v>0.83170572916666663</v>
      </c>
      <c r="S250" s="62">
        <v>0.83543913713405238</v>
      </c>
      <c r="T250" s="62">
        <v>0.8455903071287687</v>
      </c>
    </row>
    <row r="251" spans="1:20" x14ac:dyDescent="0.25">
      <c r="A251" s="121">
        <v>91</v>
      </c>
      <c r="B251" s="67" t="s">
        <v>153</v>
      </c>
      <c r="C251" s="16">
        <v>0.77885104219623791</v>
      </c>
      <c r="D251" s="16">
        <v>0.78332475553268144</v>
      </c>
      <c r="E251" s="16">
        <v>0.73924180327868849</v>
      </c>
      <c r="F251" s="16">
        <v>0.80850070060719292</v>
      </c>
      <c r="G251" s="16">
        <v>0.73821464393179537</v>
      </c>
      <c r="H251" s="16">
        <v>0.78217299578059074</v>
      </c>
      <c r="I251" s="16">
        <v>0.82404997397188962</v>
      </c>
      <c r="J251" s="16">
        <v>0.79700748129675814</v>
      </c>
      <c r="K251" s="16">
        <v>0.80925737538148523</v>
      </c>
      <c r="L251" s="16">
        <v>0.81213872832369938</v>
      </c>
      <c r="M251" s="16">
        <v>0.80906148867313921</v>
      </c>
      <c r="N251" s="16">
        <v>0.8276810265811182</v>
      </c>
      <c r="O251" s="16">
        <v>0.82782057091073857</v>
      </c>
      <c r="P251" s="16">
        <v>0.85923039454456895</v>
      </c>
      <c r="Q251" s="62">
        <v>0.87752928647497341</v>
      </c>
      <c r="R251" s="62">
        <v>0.84335596508244426</v>
      </c>
      <c r="S251" s="62">
        <v>0.85520361990950222</v>
      </c>
      <c r="T251" s="62">
        <v>0.85663082437275984</v>
      </c>
    </row>
    <row r="252" spans="1:20" x14ac:dyDescent="0.25">
      <c r="A252" s="121">
        <v>92</v>
      </c>
      <c r="B252" s="67" t="s">
        <v>154</v>
      </c>
      <c r="C252" s="16">
        <v>0.92732049036777586</v>
      </c>
      <c r="D252" s="16">
        <v>0.91555555555555557</v>
      </c>
      <c r="E252" s="16">
        <v>0.91738712776176756</v>
      </c>
      <c r="F252" s="16">
        <v>0.91064981949458479</v>
      </c>
      <c r="G252" s="16">
        <v>0.82755966127790603</v>
      </c>
      <c r="H252" s="16">
        <v>0.90519877675840976</v>
      </c>
      <c r="I252" s="16">
        <v>0.86107290233837686</v>
      </c>
      <c r="J252" s="16">
        <v>0.85092250922509227</v>
      </c>
      <c r="K252" s="16">
        <v>0.8776520509193777</v>
      </c>
      <c r="L252" s="16">
        <v>0.87089201877934275</v>
      </c>
      <c r="M252" s="16">
        <v>0.84989316239316237</v>
      </c>
      <c r="N252" s="16">
        <v>0.84198113207547165</v>
      </c>
      <c r="O252" s="16">
        <v>0.86866554054054057</v>
      </c>
      <c r="P252" s="16">
        <v>0.88577405857740588</v>
      </c>
      <c r="Q252" s="62">
        <v>0.899070385126162</v>
      </c>
      <c r="R252" s="62">
        <v>0.87799834574028124</v>
      </c>
      <c r="S252" s="62">
        <v>0.88392516227567774</v>
      </c>
      <c r="T252" s="62">
        <v>0.87092344661860621</v>
      </c>
    </row>
    <row r="253" spans="1:20" x14ac:dyDescent="0.25">
      <c r="A253" s="121">
        <v>93</v>
      </c>
      <c r="B253" s="67" t="s">
        <v>156</v>
      </c>
      <c r="C253" s="16">
        <v>0.89554224883566202</v>
      </c>
      <c r="D253" s="16">
        <v>0.81283164495899662</v>
      </c>
      <c r="E253" s="16">
        <v>0.85099939430648097</v>
      </c>
      <c r="F253" s="16">
        <v>0.91946308724832215</v>
      </c>
      <c r="G253" s="16">
        <v>0.81583287520615722</v>
      </c>
      <c r="H253" s="16">
        <v>0.8288912579957356</v>
      </c>
      <c r="I253" s="16">
        <v>0.83742534837425353</v>
      </c>
      <c r="J253" s="16">
        <v>0.85072886297376094</v>
      </c>
      <c r="K253" s="16">
        <v>0.83566238121855785</v>
      </c>
      <c r="L253" s="16">
        <v>0.86422976501305482</v>
      </c>
      <c r="M253" s="16">
        <v>0.88822894168466526</v>
      </c>
      <c r="N253" s="16">
        <v>0.83560950935761258</v>
      </c>
      <c r="O253" s="16">
        <v>0.83819891142998515</v>
      </c>
      <c r="P253" s="16">
        <v>0.89</v>
      </c>
      <c r="Q253" s="62">
        <v>0.86674459380479252</v>
      </c>
      <c r="R253" s="62">
        <v>0.86810687890847071</v>
      </c>
      <c r="S253" s="62">
        <v>0.88927680798004982</v>
      </c>
      <c r="T253" s="62">
        <v>0.8769547325102881</v>
      </c>
    </row>
    <row r="254" spans="1:20" x14ac:dyDescent="0.25">
      <c r="A254" s="121">
        <v>94</v>
      </c>
      <c r="B254" s="67" t="s">
        <v>155</v>
      </c>
      <c r="C254" s="16">
        <v>0.8427152317880795</v>
      </c>
      <c r="D254" s="16">
        <v>0.83764367816091956</v>
      </c>
      <c r="E254" s="16">
        <v>0.81960312687913406</v>
      </c>
      <c r="F254" s="16">
        <v>0.82289293849658318</v>
      </c>
      <c r="G254" s="16">
        <v>0.75687232742822241</v>
      </c>
      <c r="H254" s="16">
        <v>0.79856115107913672</v>
      </c>
      <c r="I254" s="16">
        <v>0.82210242587601079</v>
      </c>
      <c r="J254" s="16">
        <v>0.84678845020624627</v>
      </c>
      <c r="K254" s="16">
        <v>0.81775700934579443</v>
      </c>
      <c r="L254" s="16">
        <v>0.79692917285785048</v>
      </c>
      <c r="M254" s="16">
        <v>0.84782608695652173</v>
      </c>
      <c r="N254" s="16">
        <v>0.82361963190184051</v>
      </c>
      <c r="O254" s="16">
        <v>0.8362877997914494</v>
      </c>
      <c r="P254" s="16">
        <v>0.85199774901519409</v>
      </c>
      <c r="Q254" s="62">
        <v>0.83948545861297541</v>
      </c>
      <c r="R254" s="62">
        <v>0.83519717480871103</v>
      </c>
      <c r="S254" s="62">
        <v>0.80871050384286935</v>
      </c>
      <c r="T254" s="62">
        <v>0.83793814432989688</v>
      </c>
    </row>
    <row r="255" spans="1:20" x14ac:dyDescent="0.25">
      <c r="A255" s="121">
        <v>895</v>
      </c>
      <c r="B255" s="67" t="s">
        <v>213</v>
      </c>
      <c r="C255" s="16" t="s">
        <v>62</v>
      </c>
      <c r="D255" s="16" t="s">
        <v>62</v>
      </c>
      <c r="E255" s="16" t="s">
        <v>62</v>
      </c>
      <c r="F255" s="16" t="s">
        <v>62</v>
      </c>
      <c r="G255" s="16" t="s">
        <v>62</v>
      </c>
      <c r="H255" s="16" t="s">
        <v>62</v>
      </c>
      <c r="I255" s="16" t="s">
        <v>62</v>
      </c>
      <c r="J255" s="16" t="s">
        <v>62</v>
      </c>
      <c r="K255" s="16" t="s">
        <v>62</v>
      </c>
      <c r="L255" s="16" t="s">
        <v>62</v>
      </c>
      <c r="M255" s="16">
        <v>0.91264367816091951</v>
      </c>
      <c r="N255" s="16">
        <v>0.86393088552915764</v>
      </c>
      <c r="O255" s="16">
        <v>0.89400921658986177</v>
      </c>
      <c r="P255" s="16">
        <v>0.88733552631578949</v>
      </c>
      <c r="Q255" s="62">
        <v>0.87819253438113953</v>
      </c>
      <c r="R255" s="62">
        <v>0.84803558191252781</v>
      </c>
      <c r="S255" s="62">
        <v>0.86821705426356588</v>
      </c>
      <c r="T255" s="62">
        <v>0.88368129527055816</v>
      </c>
    </row>
    <row r="256" spans="1:20" x14ac:dyDescent="0.25">
      <c r="A256" s="121">
        <v>896</v>
      </c>
      <c r="B256" s="67" t="s">
        <v>214</v>
      </c>
      <c r="C256" s="16" t="s">
        <v>62</v>
      </c>
      <c r="D256" s="16" t="s">
        <v>62</v>
      </c>
      <c r="E256" s="16" t="s">
        <v>62</v>
      </c>
      <c r="F256" s="16" t="s">
        <v>62</v>
      </c>
      <c r="G256" s="16" t="s">
        <v>62</v>
      </c>
      <c r="H256" s="16" t="s">
        <v>62</v>
      </c>
      <c r="I256" s="16" t="s">
        <v>62</v>
      </c>
      <c r="J256" s="16" t="s">
        <v>62</v>
      </c>
      <c r="K256" s="16" t="s">
        <v>62</v>
      </c>
      <c r="L256" s="16" t="s">
        <v>62</v>
      </c>
      <c r="M256" s="16">
        <v>0.86021505376344087</v>
      </c>
      <c r="N256" s="16">
        <v>0.78151260504201681</v>
      </c>
      <c r="O256" s="16">
        <v>0.78861788617886175</v>
      </c>
      <c r="P256" s="16">
        <v>0.9375</v>
      </c>
      <c r="Q256" s="62">
        <v>0.76331360946745563</v>
      </c>
      <c r="R256" s="62">
        <v>0.76223776223776218</v>
      </c>
      <c r="S256" s="62">
        <v>0.76608187134502925</v>
      </c>
      <c r="T256" s="62">
        <v>0.76666666666666672</v>
      </c>
    </row>
    <row r="257" spans="1:17" x14ac:dyDescent="0.25">
      <c r="A257" s="149" t="s">
        <v>402</v>
      </c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P257" s="141"/>
      <c r="Q257" s="141"/>
    </row>
    <row r="260" spans="1:17" x14ac:dyDescent="0.25">
      <c r="A260" s="65" t="s">
        <v>120</v>
      </c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</row>
    <row r="261" spans="1:17" x14ac:dyDescent="0.25">
      <c r="A261" s="5"/>
    </row>
    <row r="262" spans="1:17" x14ac:dyDescent="0.25">
      <c r="A262" s="29" t="s">
        <v>72</v>
      </c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</row>
  </sheetData>
  <sortState xmlns:xlrd2="http://schemas.microsoft.com/office/spreadsheetml/2017/richdata2" ref="A206:R256">
    <sortCondition ref="B206:B256"/>
  </sortState>
  <phoneticPr fontId="36" type="noConversion"/>
  <hyperlinks>
    <hyperlink ref="A262" location="Indice!A1" display="Volver al índice" xr:uid="{00000000-0004-0000-0600-000000000000}"/>
  </hyperlink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Indice</vt:lpstr>
      <vt:lpstr>Comparación Tasas</vt:lpstr>
      <vt:lpstr>Retención 1er año general</vt:lpstr>
      <vt:lpstr>Retención 1er año Carreras </vt:lpstr>
      <vt:lpstr>Retención 1er año Sexo</vt:lpstr>
      <vt:lpstr>Retención 1er año Origen Sec.</vt:lpstr>
      <vt:lpstr>Retención 1er año x 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Elizalde Ovalle</dc:creator>
  <cp:lastModifiedBy>Rodrigo Rolando Meneses</cp:lastModifiedBy>
  <cp:lastPrinted>2016-09-14T20:02:53Z</cp:lastPrinted>
  <dcterms:created xsi:type="dcterms:W3CDTF">2014-12-02T16:22:35Z</dcterms:created>
  <dcterms:modified xsi:type="dcterms:W3CDTF">2025-07-23T14:35:05Z</dcterms:modified>
</cp:coreProperties>
</file>